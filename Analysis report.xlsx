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343fd2c0c49704/Desktop/"/>
    </mc:Choice>
  </mc:AlternateContent>
  <xr:revisionPtr revIDLastSave="0" documentId="8_{A9C77238-6722-4E18-8EF4-715D25B3FEA2}" xr6:coauthVersionLast="47" xr6:coauthVersionMax="47" xr10:uidLastSave="{00000000-0000-0000-0000-000000000000}"/>
  <bookViews>
    <workbookView xWindow="-108" yWindow="-108" windowWidth="22536" windowHeight="13176" xr2:uid="{C220BC77-1DF0-4137-B411-FEB7AFD27273}"/>
  </bookViews>
  <sheets>
    <sheet name="14-10-2025-TO-14-10-2026-HAL-AL" sheetId="1" r:id="rId1"/>
    <sheet name="Sheet1" sheetId="2" r:id="rId2"/>
    <sheet name="Nifty 50" sheetId="3" r:id="rId3"/>
    <sheet name="Sheet3" sheetId="4" r:id="rId4"/>
    <sheet name="Sheet5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5" i="4"/>
  <c r="C3" i="4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3" i="2"/>
  <c r="G7" i="2" l="1"/>
  <c r="F7" i="2" s="1"/>
  <c r="H7" i="2" s="1"/>
  <c r="G11" i="2"/>
  <c r="F11" i="2" s="1"/>
  <c r="H11" i="2" s="1"/>
  <c r="G10" i="2"/>
  <c r="F10" i="2" s="1"/>
  <c r="H10" i="2" s="1"/>
  <c r="G9" i="2"/>
  <c r="F9" i="2" s="1"/>
  <c r="H9" i="2" s="1"/>
  <c r="G8" i="2"/>
  <c r="F8" i="2" s="1"/>
  <c r="H8" i="2" s="1"/>
  <c r="G6" i="2"/>
  <c r="F6" i="2" s="1"/>
  <c r="H6" i="2" s="1"/>
  <c r="G5" i="2"/>
  <c r="F5" i="2" s="1"/>
  <c r="H5" i="2" s="1"/>
  <c r="G4" i="2"/>
  <c r="F4" i="2" s="1"/>
  <c r="H4" i="2" s="1"/>
  <c r="G3" i="2"/>
  <c r="F3" i="2" s="1"/>
  <c r="H3" i="2" s="1"/>
  <c r="G2" i="2"/>
  <c r="F2" i="2" s="1"/>
  <c r="H2" i="2" s="1"/>
</calcChain>
</file>

<file path=xl/sharedStrings.xml><?xml version="1.0" encoding="utf-8"?>
<sst xmlns="http://schemas.openxmlformats.org/spreadsheetml/2006/main" count="539" uniqueCount="34">
  <si>
    <t xml:space="preserve">Symbol  </t>
  </si>
  <si>
    <t xml:space="preserve">Series  </t>
  </si>
  <si>
    <t xml:space="preserve">Date  </t>
  </si>
  <si>
    <t xml:space="preserve">Prev Close  </t>
  </si>
  <si>
    <t xml:space="preserve">Open Price  </t>
  </si>
  <si>
    <t xml:space="preserve">High Price  </t>
  </si>
  <si>
    <t xml:space="preserve">Low Price  </t>
  </si>
  <si>
    <t xml:space="preserve">Last Price  </t>
  </si>
  <si>
    <t xml:space="preserve">Close Price  </t>
  </si>
  <si>
    <t xml:space="preserve">Average Price </t>
  </si>
  <si>
    <t xml:space="preserve">Total Traded Quantity  </t>
  </si>
  <si>
    <t xml:space="preserve">Turnover ₹  </t>
  </si>
  <si>
    <t xml:space="preserve">No. of Trades  </t>
  </si>
  <si>
    <t xml:space="preserve">Deliverable Qty  </t>
  </si>
  <si>
    <t xml:space="preserve">% Dly Qt to Traded Qty  </t>
  </si>
  <si>
    <t>HAL</t>
  </si>
  <si>
    <t>EQ</t>
  </si>
  <si>
    <t>Daily returns</t>
  </si>
  <si>
    <t>category</t>
  </si>
  <si>
    <t>Date</t>
  </si>
  <si>
    <t>Daily return(%)</t>
  </si>
  <si>
    <t>Trading Volume</t>
  </si>
  <si>
    <t>Largest Positive</t>
  </si>
  <si>
    <t>Largest negetive</t>
  </si>
  <si>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</si>
  <si>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</si>
  <si>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</si>
  <si>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</si>
  <si>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</si>
  <si>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</si>
  <si>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</si>
  <si>
    <t>Daily Return (%)</t>
  </si>
  <si>
    <t>HAL Return (%)</t>
  </si>
  <si>
    <t>NIFTY 50 Return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</si>
</sst>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5" fontId="0" fillId="0" borderId="0" xfId="0" applyNumberFormat="1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34" borderId="12" xfId="0" applyFill="1" applyBorder="1"/>
    <xf numFmtId="14" fontId="0" fillId="34" borderId="12" xfId="0" applyNumberFormat="1" applyFill="1" applyBorder="1"/>
    <xf numFmtId="0" fontId="0" fillId="35" borderId="12" xfId="0" applyFill="1" applyBorder="1"/>
    <xf numFmtId="14" fontId="0" fillId="35" borderId="12" xfId="0" applyNumberFormat="1" applyFill="1" applyBorder="1"/>
    <xf numFmtId="0" fontId="16" fillId="35" borderId="12" xfId="0" applyFont="1" applyFill="1" applyBorder="1"/>
    <xf numFmtId="0" fontId="16" fillId="33" borderId="13" xfId="0" applyFont="1" applyFill="1" applyBorder="1"/>
    <xf numFmtId="14" fontId="16" fillId="33" borderId="13" xfId="0" applyNumberFormat="1" applyFont="1" applyFill="1" applyBorder="1"/>
    <xf numFmtId="0" fontId="16" fillId="33" borderId="11" xfId="0" applyFont="1" applyFill="1" applyBorder="1"/>
    <xf numFmtId="0" fontId="16" fillId="33" borderId="10" xfId="0" applyFont="1" applyFill="1" applyBorder="1"/>
    <xf numFmtId="2" fontId="0" fillId="35" borderId="14" xfId="0" applyNumberFormat="1" applyFill="1" applyBorder="1"/>
    <xf numFmtId="2" fontId="0" fillId="34" borderId="14" xfId="0" applyNumberFormat="1" applyFill="1" applyBorder="1"/>
    <xf numFmtId="0" fontId="16" fillId="33" borderId="12" xfId="0" applyFont="1" applyFill="1" applyBorder="1"/>
    <xf numFmtId="15" fontId="0" fillId="36" borderId="12" xfId="0" applyNumberFormat="1" applyFill="1" applyBorder="1"/>
    <xf numFmtId="4" fontId="0" fillId="37" borderId="12" xfId="0" applyNumberFormat="1" applyFill="1" applyBorder="1"/>
    <xf numFmtId="0" fontId="0" fillId="38" borderId="12" xfId="0" applyFill="1" applyBorder="1"/>
    <xf numFmtId="2" fontId="0" fillId="0" borderId="0" xfId="0" applyNumberFormat="1"/>
    <xf numFmtId="15" fontId="0" fillId="36" borderId="12" xfId="0" applyNumberFormat="1" applyFont="1" applyFill="1" applyBorder="1"/>
    <xf numFmtId="0" fontId="18" fillId="39" borderId="12" xfId="0" applyFont="1" applyFill="1" applyBorder="1"/>
    <xf numFmtId="2" fontId="0" fillId="34" borderId="12" xfId="0" applyNumberFormat="1" applyFont="1" applyFill="1" applyBorder="1"/>
    <xf numFmtId="2" fontId="0" fillId="38" borderId="12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Daily Closing Price of Hindustan Aeronautics Limited (HAL)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Close Price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Sheet1!$A$2:$A$249</c:f>
              <c:numCache>
                <c:formatCode>d\-mmm\-yy</c:formatCode>
                <c:ptCount val="248"/>
                <c:pt idx="0">
                  <c:v>45944</c:v>
                </c:pt>
                <c:pt idx="1">
                  <c:v>45945</c:v>
                </c:pt>
                <c:pt idx="2">
                  <c:v>45946</c:v>
                </c:pt>
                <c:pt idx="3">
                  <c:v>45947</c:v>
                </c:pt>
                <c:pt idx="4">
                  <c:v>45950</c:v>
                </c:pt>
                <c:pt idx="5">
                  <c:v>45951</c:v>
                </c:pt>
                <c:pt idx="6">
                  <c:v>45953</c:v>
                </c:pt>
                <c:pt idx="7">
                  <c:v>45954</c:v>
                </c:pt>
                <c:pt idx="8">
                  <c:v>45957</c:v>
                </c:pt>
                <c:pt idx="9">
                  <c:v>45958</c:v>
                </c:pt>
                <c:pt idx="10">
                  <c:v>45959</c:v>
                </c:pt>
                <c:pt idx="11">
                  <c:v>45960</c:v>
                </c:pt>
                <c:pt idx="12">
                  <c:v>45961</c:v>
                </c:pt>
                <c:pt idx="13">
                  <c:v>45964</c:v>
                </c:pt>
                <c:pt idx="14">
                  <c:v>45965</c:v>
                </c:pt>
                <c:pt idx="15">
                  <c:v>45967</c:v>
                </c:pt>
                <c:pt idx="16">
                  <c:v>45968</c:v>
                </c:pt>
                <c:pt idx="17">
                  <c:v>45971</c:v>
                </c:pt>
                <c:pt idx="18">
                  <c:v>45972</c:v>
                </c:pt>
                <c:pt idx="19">
                  <c:v>45973</c:v>
                </c:pt>
                <c:pt idx="20">
                  <c:v>45974</c:v>
                </c:pt>
                <c:pt idx="21">
                  <c:v>45975</c:v>
                </c:pt>
                <c:pt idx="22">
                  <c:v>45978</c:v>
                </c:pt>
                <c:pt idx="23">
                  <c:v>45979</c:v>
                </c:pt>
                <c:pt idx="24">
                  <c:v>45980</c:v>
                </c:pt>
                <c:pt idx="25">
                  <c:v>45981</c:v>
                </c:pt>
                <c:pt idx="26">
                  <c:v>45982</c:v>
                </c:pt>
                <c:pt idx="27">
                  <c:v>45985</c:v>
                </c:pt>
                <c:pt idx="28">
                  <c:v>45986</c:v>
                </c:pt>
                <c:pt idx="29">
                  <c:v>45987</c:v>
                </c:pt>
                <c:pt idx="30">
                  <c:v>45988</c:v>
                </c:pt>
                <c:pt idx="31">
                  <c:v>45989</c:v>
                </c:pt>
                <c:pt idx="32">
                  <c:v>45992</c:v>
                </c:pt>
                <c:pt idx="33">
                  <c:v>45993</c:v>
                </c:pt>
                <c:pt idx="34">
                  <c:v>45994</c:v>
                </c:pt>
                <c:pt idx="35">
                  <c:v>45995</c:v>
                </c:pt>
                <c:pt idx="36">
                  <c:v>45996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46006</c:v>
                </c:pt>
                <c:pt idx="43">
                  <c:v>46007</c:v>
                </c:pt>
                <c:pt idx="44">
                  <c:v>46008</c:v>
                </c:pt>
                <c:pt idx="45">
                  <c:v>46009</c:v>
                </c:pt>
                <c:pt idx="46">
                  <c:v>46010</c:v>
                </c:pt>
                <c:pt idx="47">
                  <c:v>46013</c:v>
                </c:pt>
                <c:pt idx="48">
                  <c:v>46014</c:v>
                </c:pt>
                <c:pt idx="49">
                  <c:v>46015</c:v>
                </c:pt>
                <c:pt idx="50">
                  <c:v>46017</c:v>
                </c:pt>
                <c:pt idx="51">
                  <c:v>46020</c:v>
                </c:pt>
                <c:pt idx="52">
                  <c:v>46021</c:v>
                </c:pt>
                <c:pt idx="53">
                  <c:v>46022</c:v>
                </c:pt>
                <c:pt idx="54">
                  <c:v>46023</c:v>
                </c:pt>
                <c:pt idx="55">
                  <c:v>46024</c:v>
                </c:pt>
                <c:pt idx="56">
                  <c:v>46027</c:v>
                </c:pt>
                <c:pt idx="57">
                  <c:v>46028</c:v>
                </c:pt>
                <c:pt idx="58">
                  <c:v>46029</c:v>
                </c:pt>
                <c:pt idx="59">
                  <c:v>46030</c:v>
                </c:pt>
                <c:pt idx="60">
                  <c:v>46031</c:v>
                </c:pt>
                <c:pt idx="61">
                  <c:v>46034</c:v>
                </c:pt>
                <c:pt idx="62">
                  <c:v>46035</c:v>
                </c:pt>
                <c:pt idx="63">
                  <c:v>46036</c:v>
                </c:pt>
                <c:pt idx="64">
                  <c:v>46038</c:v>
                </c:pt>
                <c:pt idx="65">
                  <c:v>46041</c:v>
                </c:pt>
                <c:pt idx="66">
                  <c:v>46042</c:v>
                </c:pt>
                <c:pt idx="67">
                  <c:v>46043</c:v>
                </c:pt>
                <c:pt idx="68">
                  <c:v>46044</c:v>
                </c:pt>
                <c:pt idx="69">
                  <c:v>46045</c:v>
                </c:pt>
                <c:pt idx="70">
                  <c:v>46049</c:v>
                </c:pt>
                <c:pt idx="71">
                  <c:v>46050</c:v>
                </c:pt>
                <c:pt idx="72">
                  <c:v>46051</c:v>
                </c:pt>
                <c:pt idx="73">
                  <c:v>46052</c:v>
                </c:pt>
                <c:pt idx="74">
                  <c:v>46054</c:v>
                </c:pt>
                <c:pt idx="75">
                  <c:v>46055</c:v>
                </c:pt>
                <c:pt idx="76">
                  <c:v>46056</c:v>
                </c:pt>
                <c:pt idx="77">
                  <c:v>46057</c:v>
                </c:pt>
                <c:pt idx="78">
                  <c:v>46058</c:v>
                </c:pt>
                <c:pt idx="79">
                  <c:v>46059</c:v>
                </c:pt>
                <c:pt idx="80">
                  <c:v>46062</c:v>
                </c:pt>
                <c:pt idx="81">
                  <c:v>46063</c:v>
                </c:pt>
                <c:pt idx="82">
                  <c:v>46064</c:v>
                </c:pt>
                <c:pt idx="83">
                  <c:v>46065</c:v>
                </c:pt>
                <c:pt idx="84">
                  <c:v>46066</c:v>
                </c:pt>
                <c:pt idx="85">
                  <c:v>46069</c:v>
                </c:pt>
                <c:pt idx="86">
                  <c:v>46070</c:v>
                </c:pt>
                <c:pt idx="87">
                  <c:v>46071</c:v>
                </c:pt>
                <c:pt idx="88">
                  <c:v>46072</c:v>
                </c:pt>
                <c:pt idx="89">
                  <c:v>46073</c:v>
                </c:pt>
                <c:pt idx="90">
                  <c:v>46076</c:v>
                </c:pt>
                <c:pt idx="91">
                  <c:v>46077</c:v>
                </c:pt>
                <c:pt idx="92">
                  <c:v>46078</c:v>
                </c:pt>
                <c:pt idx="93">
                  <c:v>46079</c:v>
                </c:pt>
                <c:pt idx="94">
                  <c:v>46080</c:v>
                </c:pt>
                <c:pt idx="95">
                  <c:v>46083</c:v>
                </c:pt>
                <c:pt idx="96">
                  <c:v>46085</c:v>
                </c:pt>
                <c:pt idx="97">
                  <c:v>46086</c:v>
                </c:pt>
                <c:pt idx="98">
                  <c:v>46087</c:v>
                </c:pt>
                <c:pt idx="99">
                  <c:v>46090</c:v>
                </c:pt>
                <c:pt idx="100">
                  <c:v>46091</c:v>
                </c:pt>
                <c:pt idx="101">
                  <c:v>46092</c:v>
                </c:pt>
                <c:pt idx="102">
                  <c:v>46093</c:v>
                </c:pt>
                <c:pt idx="103">
                  <c:v>46094</c:v>
                </c:pt>
                <c:pt idx="104">
                  <c:v>46097</c:v>
                </c:pt>
                <c:pt idx="105">
                  <c:v>46098</c:v>
                </c:pt>
                <c:pt idx="106">
                  <c:v>46099</c:v>
                </c:pt>
                <c:pt idx="107">
                  <c:v>46100</c:v>
                </c:pt>
                <c:pt idx="108">
                  <c:v>46101</c:v>
                </c:pt>
                <c:pt idx="109">
                  <c:v>46104</c:v>
                </c:pt>
                <c:pt idx="110">
                  <c:v>46105</c:v>
                </c:pt>
                <c:pt idx="111">
                  <c:v>46106</c:v>
                </c:pt>
                <c:pt idx="112">
                  <c:v>46108</c:v>
                </c:pt>
                <c:pt idx="113">
                  <c:v>46111</c:v>
                </c:pt>
                <c:pt idx="114">
                  <c:v>46113</c:v>
                </c:pt>
                <c:pt idx="115">
                  <c:v>46114</c:v>
                </c:pt>
                <c:pt idx="116">
                  <c:v>46118</c:v>
                </c:pt>
                <c:pt idx="117">
                  <c:v>46119</c:v>
                </c:pt>
                <c:pt idx="118">
                  <c:v>46120</c:v>
                </c:pt>
                <c:pt idx="119">
                  <c:v>46121</c:v>
                </c:pt>
                <c:pt idx="120">
                  <c:v>46122</c:v>
                </c:pt>
                <c:pt idx="121">
                  <c:v>46125</c:v>
                </c:pt>
                <c:pt idx="122">
                  <c:v>46127</c:v>
                </c:pt>
                <c:pt idx="123">
                  <c:v>46128</c:v>
                </c:pt>
                <c:pt idx="124">
                  <c:v>46129</c:v>
                </c:pt>
                <c:pt idx="125">
                  <c:v>46132</c:v>
                </c:pt>
                <c:pt idx="126">
                  <c:v>46133</c:v>
                </c:pt>
                <c:pt idx="127">
                  <c:v>46134</c:v>
                </c:pt>
                <c:pt idx="128">
                  <c:v>46135</c:v>
                </c:pt>
                <c:pt idx="129">
                  <c:v>46136</c:v>
                </c:pt>
                <c:pt idx="130">
                  <c:v>46139</c:v>
                </c:pt>
                <c:pt idx="131">
                  <c:v>46140</c:v>
                </c:pt>
                <c:pt idx="132">
                  <c:v>46141</c:v>
                </c:pt>
                <c:pt idx="133">
                  <c:v>46142</c:v>
                </c:pt>
                <c:pt idx="134">
                  <c:v>46146</c:v>
                </c:pt>
                <c:pt idx="135">
                  <c:v>46147</c:v>
                </c:pt>
                <c:pt idx="136">
                  <c:v>46148</c:v>
                </c:pt>
                <c:pt idx="137">
                  <c:v>46149</c:v>
                </c:pt>
                <c:pt idx="138">
                  <c:v>46150</c:v>
                </c:pt>
                <c:pt idx="139">
                  <c:v>46153</c:v>
                </c:pt>
                <c:pt idx="140">
                  <c:v>46154</c:v>
                </c:pt>
                <c:pt idx="141">
                  <c:v>46155</c:v>
                </c:pt>
                <c:pt idx="142">
                  <c:v>46156</c:v>
                </c:pt>
                <c:pt idx="143">
                  <c:v>46157</c:v>
                </c:pt>
                <c:pt idx="144">
                  <c:v>46160</c:v>
                </c:pt>
                <c:pt idx="145">
                  <c:v>46161</c:v>
                </c:pt>
                <c:pt idx="146">
                  <c:v>46162</c:v>
                </c:pt>
                <c:pt idx="147">
                  <c:v>46163</c:v>
                </c:pt>
                <c:pt idx="148">
                  <c:v>46164</c:v>
                </c:pt>
                <c:pt idx="149">
                  <c:v>46167</c:v>
                </c:pt>
                <c:pt idx="150">
                  <c:v>46168</c:v>
                </c:pt>
                <c:pt idx="151">
                  <c:v>46169</c:v>
                </c:pt>
                <c:pt idx="152">
                  <c:v>46171</c:v>
                </c:pt>
                <c:pt idx="153">
                  <c:v>46174</c:v>
                </c:pt>
                <c:pt idx="154">
                  <c:v>46175</c:v>
                </c:pt>
                <c:pt idx="155">
                  <c:v>46176</c:v>
                </c:pt>
                <c:pt idx="156">
                  <c:v>46177</c:v>
                </c:pt>
                <c:pt idx="157">
                  <c:v>46178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46188</c:v>
                </c:pt>
                <c:pt idx="164">
                  <c:v>46189</c:v>
                </c:pt>
                <c:pt idx="165">
                  <c:v>46190</c:v>
                </c:pt>
                <c:pt idx="166">
                  <c:v>46191</c:v>
                </c:pt>
                <c:pt idx="167">
                  <c:v>46192</c:v>
                </c:pt>
                <c:pt idx="168">
                  <c:v>46195</c:v>
                </c:pt>
                <c:pt idx="169">
                  <c:v>46196</c:v>
                </c:pt>
                <c:pt idx="170">
                  <c:v>46197</c:v>
                </c:pt>
                <c:pt idx="171">
                  <c:v>46198</c:v>
                </c:pt>
                <c:pt idx="172">
                  <c:v>46202</c:v>
                </c:pt>
                <c:pt idx="173">
                  <c:v>46203</c:v>
                </c:pt>
                <c:pt idx="174">
                  <c:v>46204</c:v>
                </c:pt>
                <c:pt idx="175">
                  <c:v>46205</c:v>
                </c:pt>
                <c:pt idx="176">
                  <c:v>46206</c:v>
                </c:pt>
                <c:pt idx="177">
                  <c:v>46209</c:v>
                </c:pt>
                <c:pt idx="178">
                  <c:v>46210</c:v>
                </c:pt>
                <c:pt idx="179">
                  <c:v>46211</c:v>
                </c:pt>
                <c:pt idx="180">
                  <c:v>46212</c:v>
                </c:pt>
                <c:pt idx="181">
                  <c:v>46213</c:v>
                </c:pt>
                <c:pt idx="182">
                  <c:v>46216</c:v>
                </c:pt>
                <c:pt idx="183">
                  <c:v>46217</c:v>
                </c:pt>
                <c:pt idx="184">
                  <c:v>46218</c:v>
                </c:pt>
                <c:pt idx="185">
                  <c:v>46219</c:v>
                </c:pt>
                <c:pt idx="186">
                  <c:v>46220</c:v>
                </c:pt>
                <c:pt idx="187">
                  <c:v>46223</c:v>
                </c:pt>
                <c:pt idx="188">
                  <c:v>46224</c:v>
                </c:pt>
                <c:pt idx="189">
                  <c:v>46225</c:v>
                </c:pt>
                <c:pt idx="190">
                  <c:v>46226</c:v>
                </c:pt>
                <c:pt idx="191">
                  <c:v>46227</c:v>
                </c:pt>
                <c:pt idx="192">
                  <c:v>46230</c:v>
                </c:pt>
                <c:pt idx="193">
                  <c:v>46231</c:v>
                </c:pt>
                <c:pt idx="194">
                  <c:v>46232</c:v>
                </c:pt>
                <c:pt idx="195">
                  <c:v>46233</c:v>
                </c:pt>
                <c:pt idx="196">
                  <c:v>46234</c:v>
                </c:pt>
                <c:pt idx="197">
                  <c:v>46237</c:v>
                </c:pt>
                <c:pt idx="198">
                  <c:v>46238</c:v>
                </c:pt>
                <c:pt idx="199">
                  <c:v>46239</c:v>
                </c:pt>
                <c:pt idx="200">
                  <c:v>46240</c:v>
                </c:pt>
                <c:pt idx="201">
                  <c:v>46241</c:v>
                </c:pt>
                <c:pt idx="202">
                  <c:v>46244</c:v>
                </c:pt>
                <c:pt idx="203">
                  <c:v>46245</c:v>
                </c:pt>
                <c:pt idx="204">
                  <c:v>46246</c:v>
                </c:pt>
                <c:pt idx="205">
                  <c:v>46247</c:v>
                </c:pt>
                <c:pt idx="206">
                  <c:v>46248</c:v>
                </c:pt>
                <c:pt idx="207">
                  <c:v>46251</c:v>
                </c:pt>
                <c:pt idx="208">
                  <c:v>46252</c:v>
                </c:pt>
                <c:pt idx="209">
                  <c:v>46253</c:v>
                </c:pt>
                <c:pt idx="210">
                  <c:v>46254</c:v>
                </c:pt>
                <c:pt idx="211">
                  <c:v>46255</c:v>
                </c:pt>
                <c:pt idx="212">
                  <c:v>46258</c:v>
                </c:pt>
                <c:pt idx="213">
                  <c:v>46259</c:v>
                </c:pt>
                <c:pt idx="214">
                  <c:v>46260</c:v>
                </c:pt>
                <c:pt idx="215">
                  <c:v>46261</c:v>
                </c:pt>
                <c:pt idx="216">
                  <c:v>46262</c:v>
                </c:pt>
                <c:pt idx="217">
                  <c:v>46265</c:v>
                </c:pt>
                <c:pt idx="218">
                  <c:v>46266</c:v>
                </c:pt>
                <c:pt idx="219">
                  <c:v>46267</c:v>
                </c:pt>
                <c:pt idx="220">
                  <c:v>46268</c:v>
                </c:pt>
                <c:pt idx="221">
                  <c:v>46269</c:v>
                </c:pt>
                <c:pt idx="222">
                  <c:v>46272</c:v>
                </c:pt>
                <c:pt idx="223">
                  <c:v>46273</c:v>
                </c:pt>
                <c:pt idx="224">
                  <c:v>46274</c:v>
                </c:pt>
                <c:pt idx="225">
                  <c:v>46275</c:v>
                </c:pt>
                <c:pt idx="226">
                  <c:v>46276</c:v>
                </c:pt>
                <c:pt idx="227">
                  <c:v>46280</c:v>
                </c:pt>
                <c:pt idx="228">
                  <c:v>46281</c:v>
                </c:pt>
                <c:pt idx="229">
                  <c:v>46282</c:v>
                </c:pt>
                <c:pt idx="230">
                  <c:v>46283</c:v>
                </c:pt>
                <c:pt idx="231">
                  <c:v>46286</c:v>
                </c:pt>
                <c:pt idx="232">
                  <c:v>46287</c:v>
                </c:pt>
                <c:pt idx="233">
                  <c:v>46288</c:v>
                </c:pt>
                <c:pt idx="234">
                  <c:v>46289</c:v>
                </c:pt>
                <c:pt idx="235">
                  <c:v>46290</c:v>
                </c:pt>
                <c:pt idx="236">
                  <c:v>46293</c:v>
                </c:pt>
                <c:pt idx="237">
                  <c:v>46294</c:v>
                </c:pt>
                <c:pt idx="238">
                  <c:v>46295</c:v>
                </c:pt>
                <c:pt idx="239">
                  <c:v>46296</c:v>
                </c:pt>
                <c:pt idx="240">
                  <c:v>46300</c:v>
                </c:pt>
                <c:pt idx="241">
                  <c:v>46301</c:v>
                </c:pt>
                <c:pt idx="242">
                  <c:v>46302</c:v>
                </c:pt>
                <c:pt idx="243">
                  <c:v>46303</c:v>
                </c:pt>
                <c:pt idx="244">
                  <c:v>46304</c:v>
                </c:pt>
                <c:pt idx="245">
                  <c:v>46307</c:v>
                </c:pt>
                <c:pt idx="246">
                  <c:v>46308</c:v>
                </c:pt>
              </c:numCache>
            </c:numRef>
          </c:cat>
          <c:val>
            <c:numRef>
              <c:f>Sheet1!$B$2:$B$249</c:f>
              <c:numCache>
                <c:formatCode>#,##0.00</c:formatCode>
                <c:ptCount val="248"/>
                <c:pt idx="0">
                  <c:v>4746.8</c:v>
                </c:pt>
                <c:pt idx="1">
                  <c:v>4845.2</c:v>
                </c:pt>
                <c:pt idx="2">
                  <c:v>4861.3</c:v>
                </c:pt>
                <c:pt idx="3">
                  <c:v>4878.5</c:v>
                </c:pt>
                <c:pt idx="4">
                  <c:v>4860</c:v>
                </c:pt>
                <c:pt idx="5">
                  <c:v>4858.2</c:v>
                </c:pt>
                <c:pt idx="6">
                  <c:v>4810.2</c:v>
                </c:pt>
                <c:pt idx="7">
                  <c:v>4814.2</c:v>
                </c:pt>
                <c:pt idx="8">
                  <c:v>4756.8</c:v>
                </c:pt>
                <c:pt idx="9">
                  <c:v>4724.5</c:v>
                </c:pt>
                <c:pt idx="10">
                  <c:v>4695.1000000000004</c:v>
                </c:pt>
                <c:pt idx="11">
                  <c:v>4650.2</c:v>
                </c:pt>
                <c:pt idx="12">
                  <c:v>4679.8</c:v>
                </c:pt>
                <c:pt idx="13">
                  <c:v>4694.7</c:v>
                </c:pt>
                <c:pt idx="14">
                  <c:v>4685.8</c:v>
                </c:pt>
                <c:pt idx="15">
                  <c:v>4593.6000000000004</c:v>
                </c:pt>
                <c:pt idx="16">
                  <c:v>4626.6000000000004</c:v>
                </c:pt>
                <c:pt idx="17">
                  <c:v>4789.8</c:v>
                </c:pt>
                <c:pt idx="18">
                  <c:v>4862.6000000000004</c:v>
                </c:pt>
                <c:pt idx="19">
                  <c:v>4748.5</c:v>
                </c:pt>
                <c:pt idx="20">
                  <c:v>4751</c:v>
                </c:pt>
                <c:pt idx="21">
                  <c:v>4729.8</c:v>
                </c:pt>
                <c:pt idx="22">
                  <c:v>4795.2</c:v>
                </c:pt>
                <c:pt idx="23">
                  <c:v>4807.8999999999996</c:v>
                </c:pt>
                <c:pt idx="24">
                  <c:v>4744.2</c:v>
                </c:pt>
                <c:pt idx="25">
                  <c:v>4716.6000000000004</c:v>
                </c:pt>
                <c:pt idx="26">
                  <c:v>4595</c:v>
                </c:pt>
                <c:pt idx="27">
                  <c:v>4445.1000000000004</c:v>
                </c:pt>
                <c:pt idx="28">
                  <c:v>4441.6000000000004</c:v>
                </c:pt>
                <c:pt idx="29">
                  <c:v>4517.8</c:v>
                </c:pt>
                <c:pt idx="30">
                  <c:v>4483.2</c:v>
                </c:pt>
                <c:pt idx="31">
                  <c:v>4542.3999999999996</c:v>
                </c:pt>
                <c:pt idx="32">
                  <c:v>4530.7</c:v>
                </c:pt>
                <c:pt idx="33">
                  <c:v>4508.5</c:v>
                </c:pt>
                <c:pt idx="34">
                  <c:v>4436.3</c:v>
                </c:pt>
                <c:pt idx="35">
                  <c:v>4496.8</c:v>
                </c:pt>
                <c:pt idx="36">
                  <c:v>4443</c:v>
                </c:pt>
                <c:pt idx="37">
                  <c:v>4287.1000000000004</c:v>
                </c:pt>
                <c:pt idx="38">
                  <c:v>4303</c:v>
                </c:pt>
                <c:pt idx="39">
                  <c:v>4294.1000000000004</c:v>
                </c:pt>
                <c:pt idx="40">
                  <c:v>4320.8</c:v>
                </c:pt>
                <c:pt idx="41">
                  <c:v>4302.5</c:v>
                </c:pt>
                <c:pt idx="42">
                  <c:v>4321.6000000000004</c:v>
                </c:pt>
                <c:pt idx="43">
                  <c:v>4261.3999999999996</c:v>
                </c:pt>
                <c:pt idx="44">
                  <c:v>4228.3999999999996</c:v>
                </c:pt>
                <c:pt idx="45">
                  <c:v>4259.5</c:v>
                </c:pt>
                <c:pt idx="46">
                  <c:v>4305.3</c:v>
                </c:pt>
                <c:pt idx="47">
                  <c:v>4386.1000000000004</c:v>
                </c:pt>
                <c:pt idx="48">
                  <c:v>4407.3999999999996</c:v>
                </c:pt>
                <c:pt idx="49">
                  <c:v>4421.3</c:v>
                </c:pt>
                <c:pt idx="50">
                  <c:v>4409.2</c:v>
                </c:pt>
                <c:pt idx="51">
                  <c:v>4374.3</c:v>
                </c:pt>
                <c:pt idx="52">
                  <c:v>4325.5</c:v>
                </c:pt>
                <c:pt idx="53">
                  <c:v>4388.7</c:v>
                </c:pt>
                <c:pt idx="54">
                  <c:v>4397.8999999999996</c:v>
                </c:pt>
                <c:pt idx="55">
                  <c:v>4417.8</c:v>
                </c:pt>
                <c:pt idx="56">
                  <c:v>4526.1000000000004</c:v>
                </c:pt>
                <c:pt idx="57">
                  <c:v>4516</c:v>
                </c:pt>
                <c:pt idx="58">
                  <c:v>4525.1000000000004</c:v>
                </c:pt>
                <c:pt idx="59">
                  <c:v>4479.8</c:v>
                </c:pt>
                <c:pt idx="60">
                  <c:v>4462.1000000000004</c:v>
                </c:pt>
                <c:pt idx="61">
                  <c:v>4518.3999999999996</c:v>
                </c:pt>
                <c:pt idx="62">
                  <c:v>4452.3999999999996</c:v>
                </c:pt>
                <c:pt idx="63">
                  <c:v>4461.3999999999996</c:v>
                </c:pt>
                <c:pt idx="64">
                  <c:v>4428.7</c:v>
                </c:pt>
                <c:pt idx="65">
                  <c:v>4504.3</c:v>
                </c:pt>
                <c:pt idx="66">
                  <c:v>4355.2</c:v>
                </c:pt>
                <c:pt idx="67">
                  <c:v>4259.3999999999996</c:v>
                </c:pt>
                <c:pt idx="68">
                  <c:v>4353.2</c:v>
                </c:pt>
                <c:pt idx="69">
                  <c:v>4305.7</c:v>
                </c:pt>
                <c:pt idx="70">
                  <c:v>4348.5</c:v>
                </c:pt>
                <c:pt idx="71">
                  <c:v>4624</c:v>
                </c:pt>
                <c:pt idx="72">
                  <c:v>4601</c:v>
                </c:pt>
                <c:pt idx="73">
                  <c:v>4619.3999999999996</c:v>
                </c:pt>
                <c:pt idx="74">
                  <c:v>4376.8999999999996</c:v>
                </c:pt>
                <c:pt idx="75">
                  <c:v>4338.7</c:v>
                </c:pt>
                <c:pt idx="76">
                  <c:v>4470.3999999999996</c:v>
                </c:pt>
                <c:pt idx="77">
                  <c:v>4217.1000000000004</c:v>
                </c:pt>
                <c:pt idx="78">
                  <c:v>4035.5</c:v>
                </c:pt>
                <c:pt idx="79">
                  <c:v>4067.5</c:v>
                </c:pt>
                <c:pt idx="80">
                  <c:v>4131</c:v>
                </c:pt>
                <c:pt idx="81">
                  <c:v>4168.3</c:v>
                </c:pt>
                <c:pt idx="82">
                  <c:v>4133</c:v>
                </c:pt>
                <c:pt idx="83">
                  <c:v>4158.8999999999996</c:v>
                </c:pt>
                <c:pt idx="84">
                  <c:v>4212.3999999999996</c:v>
                </c:pt>
                <c:pt idx="85">
                  <c:v>4226.1000000000004</c:v>
                </c:pt>
                <c:pt idx="86">
                  <c:v>4247.6000000000004</c:v>
                </c:pt>
                <c:pt idx="87">
                  <c:v>4251.1000000000004</c:v>
                </c:pt>
                <c:pt idx="88">
                  <c:v>4132.6000000000004</c:v>
                </c:pt>
                <c:pt idx="89">
                  <c:v>4170</c:v>
                </c:pt>
                <c:pt idx="90">
                  <c:v>4025.4</c:v>
                </c:pt>
                <c:pt idx="91">
                  <c:v>3952.6</c:v>
                </c:pt>
                <c:pt idx="92">
                  <c:v>3985</c:v>
                </c:pt>
                <c:pt idx="93">
                  <c:v>4008.9</c:v>
                </c:pt>
                <c:pt idx="94">
                  <c:v>3913.2</c:v>
                </c:pt>
                <c:pt idx="95">
                  <c:v>3951.6</c:v>
                </c:pt>
                <c:pt idx="96">
                  <c:v>3876.8</c:v>
                </c:pt>
                <c:pt idx="97">
                  <c:v>3891.8</c:v>
                </c:pt>
                <c:pt idx="98">
                  <c:v>4023.7</c:v>
                </c:pt>
                <c:pt idx="99">
                  <c:v>3989.9</c:v>
                </c:pt>
                <c:pt idx="100">
                  <c:v>4040.1</c:v>
                </c:pt>
                <c:pt idx="101">
                  <c:v>4005.1</c:v>
                </c:pt>
                <c:pt idx="102">
                  <c:v>4013.5</c:v>
                </c:pt>
                <c:pt idx="103">
                  <c:v>3914.4</c:v>
                </c:pt>
                <c:pt idx="104">
                  <c:v>3913.1</c:v>
                </c:pt>
                <c:pt idx="105">
                  <c:v>3963.1</c:v>
                </c:pt>
                <c:pt idx="106">
                  <c:v>3961.6</c:v>
                </c:pt>
                <c:pt idx="107">
                  <c:v>3802.5</c:v>
                </c:pt>
                <c:pt idx="108">
                  <c:v>3782.4</c:v>
                </c:pt>
                <c:pt idx="109">
                  <c:v>3634.6</c:v>
                </c:pt>
                <c:pt idx="110">
                  <c:v>3654</c:v>
                </c:pt>
                <c:pt idx="111">
                  <c:v>3669.4</c:v>
                </c:pt>
                <c:pt idx="112">
                  <c:v>3588.6</c:v>
                </c:pt>
                <c:pt idx="113">
                  <c:v>3487.2</c:v>
                </c:pt>
                <c:pt idx="114">
                  <c:v>3670.8</c:v>
                </c:pt>
                <c:pt idx="115">
                  <c:v>3687</c:v>
                </c:pt>
                <c:pt idx="116">
                  <c:v>3752.1</c:v>
                </c:pt>
                <c:pt idx="117">
                  <c:v>3796.2</c:v>
                </c:pt>
                <c:pt idx="118">
                  <c:v>3907.5</c:v>
                </c:pt>
                <c:pt idx="119">
                  <c:v>4032.9</c:v>
                </c:pt>
                <c:pt idx="120">
                  <c:v>4112.2</c:v>
                </c:pt>
                <c:pt idx="121">
                  <c:v>4099.8999999999996</c:v>
                </c:pt>
                <c:pt idx="122">
                  <c:v>4239.2</c:v>
                </c:pt>
                <c:pt idx="123">
                  <c:v>4363.3999999999996</c:v>
                </c:pt>
                <c:pt idx="124">
                  <c:v>4388.1000000000004</c:v>
                </c:pt>
                <c:pt idx="125">
                  <c:v>4344.5</c:v>
                </c:pt>
                <c:pt idx="126">
                  <c:v>4358.3999999999996</c:v>
                </c:pt>
                <c:pt idx="127">
                  <c:v>4400.6000000000004</c:v>
                </c:pt>
                <c:pt idx="128">
                  <c:v>4352.5</c:v>
                </c:pt>
                <c:pt idx="129">
                  <c:v>4265.8</c:v>
                </c:pt>
                <c:pt idx="130">
                  <c:v>4310.3</c:v>
                </c:pt>
                <c:pt idx="131">
                  <c:v>4341.3999999999996</c:v>
                </c:pt>
                <c:pt idx="132">
                  <c:v>4351.6000000000004</c:v>
                </c:pt>
                <c:pt idx="133">
                  <c:v>4338.8</c:v>
                </c:pt>
                <c:pt idx="134">
                  <c:v>4559.5</c:v>
                </c:pt>
                <c:pt idx="135">
                  <c:v>4610.3999999999996</c:v>
                </c:pt>
                <c:pt idx="136">
                  <c:v>4626.8999999999996</c:v>
                </c:pt>
                <c:pt idx="137">
                  <c:v>4782.1000000000004</c:v>
                </c:pt>
                <c:pt idx="138">
                  <c:v>4788.1000000000004</c:v>
                </c:pt>
                <c:pt idx="139">
                  <c:v>4756.3</c:v>
                </c:pt>
                <c:pt idx="140">
                  <c:v>4572.5</c:v>
                </c:pt>
                <c:pt idx="141">
                  <c:v>4618.5</c:v>
                </c:pt>
                <c:pt idx="142">
                  <c:v>4608</c:v>
                </c:pt>
                <c:pt idx="143">
                  <c:v>4386.2</c:v>
                </c:pt>
                <c:pt idx="144">
                  <c:v>4326.5</c:v>
                </c:pt>
                <c:pt idx="145">
                  <c:v>4333.2</c:v>
                </c:pt>
                <c:pt idx="146">
                  <c:v>4326.5</c:v>
                </c:pt>
                <c:pt idx="147">
                  <c:v>4370.3999999999996</c:v>
                </c:pt>
                <c:pt idx="148">
                  <c:v>4368.3999999999996</c:v>
                </c:pt>
                <c:pt idx="149">
                  <c:v>4425.8999999999996</c:v>
                </c:pt>
                <c:pt idx="150">
                  <c:v>4427.7</c:v>
                </c:pt>
                <c:pt idx="151">
                  <c:v>4413</c:v>
                </c:pt>
                <c:pt idx="152">
                  <c:v>4303.8</c:v>
                </c:pt>
                <c:pt idx="153">
                  <c:v>4254.1000000000004</c:v>
                </c:pt>
                <c:pt idx="154">
                  <c:v>4278.5</c:v>
                </c:pt>
                <c:pt idx="155">
                  <c:v>4264.1000000000004</c:v>
                </c:pt>
                <c:pt idx="156">
                  <c:v>4191</c:v>
                </c:pt>
                <c:pt idx="157">
                  <c:v>4216.8999999999996</c:v>
                </c:pt>
                <c:pt idx="158">
                  <c:v>4238</c:v>
                </c:pt>
                <c:pt idx="159">
                  <c:v>4263.8</c:v>
                </c:pt>
                <c:pt idx="160">
                  <c:v>4219.2</c:v>
                </c:pt>
                <c:pt idx="161">
                  <c:v>4172.3</c:v>
                </c:pt>
                <c:pt idx="162">
                  <c:v>4192.3</c:v>
                </c:pt>
                <c:pt idx="163">
                  <c:v>4284.7</c:v>
                </c:pt>
                <c:pt idx="164">
                  <c:v>4255.8</c:v>
                </c:pt>
                <c:pt idx="165">
                  <c:v>4460.5</c:v>
                </c:pt>
                <c:pt idx="166">
                  <c:v>4411.5</c:v>
                </c:pt>
                <c:pt idx="167">
                  <c:v>4408.1000000000004</c:v>
                </c:pt>
                <c:pt idx="168">
                  <c:v>4515.2</c:v>
                </c:pt>
                <c:pt idx="169">
                  <c:v>4500.2</c:v>
                </c:pt>
                <c:pt idx="170">
                  <c:v>4368.8999999999996</c:v>
                </c:pt>
                <c:pt idx="171">
                  <c:v>4368.7</c:v>
                </c:pt>
                <c:pt idx="172">
                  <c:v>4342.8</c:v>
                </c:pt>
                <c:pt idx="173">
                  <c:v>4381.2</c:v>
                </c:pt>
                <c:pt idx="174">
                  <c:v>4434.3999999999996</c:v>
                </c:pt>
                <c:pt idx="175">
                  <c:v>4434</c:v>
                </c:pt>
                <c:pt idx="176">
                  <c:v>4428.8999999999996</c:v>
                </c:pt>
                <c:pt idx="177">
                  <c:v>4440.6000000000004</c:v>
                </c:pt>
                <c:pt idx="178">
                  <c:v>4400.3</c:v>
                </c:pt>
                <c:pt idx="179">
                  <c:v>4364.7</c:v>
                </c:pt>
                <c:pt idx="180">
                  <c:v>4378.8999999999996</c:v>
                </c:pt>
                <c:pt idx="181">
                  <c:v>4506.8</c:v>
                </c:pt>
                <c:pt idx="182">
                  <c:v>4511.3</c:v>
                </c:pt>
                <c:pt idx="183">
                  <c:v>4442.3999999999996</c:v>
                </c:pt>
                <c:pt idx="184">
                  <c:v>4420.5</c:v>
                </c:pt>
                <c:pt idx="185">
                  <c:v>4433.8</c:v>
                </c:pt>
                <c:pt idx="186">
                  <c:v>4500.7</c:v>
                </c:pt>
                <c:pt idx="187">
                  <c:v>4491</c:v>
                </c:pt>
                <c:pt idx="188">
                  <c:v>4581.7</c:v>
                </c:pt>
                <c:pt idx="189">
                  <c:v>4574.8</c:v>
                </c:pt>
                <c:pt idx="190">
                  <c:v>4592.5</c:v>
                </c:pt>
                <c:pt idx="191">
                  <c:v>4573.3999999999996</c:v>
                </c:pt>
                <c:pt idx="192">
                  <c:v>4619</c:v>
                </c:pt>
                <c:pt idx="193">
                  <c:v>4600.1000000000004</c:v>
                </c:pt>
                <c:pt idx="194">
                  <c:v>4592</c:v>
                </c:pt>
                <c:pt idx="195">
                  <c:v>4581.3999999999996</c:v>
                </c:pt>
                <c:pt idx="196">
                  <c:v>4646.5</c:v>
                </c:pt>
                <c:pt idx="197">
                  <c:v>4690</c:v>
                </c:pt>
                <c:pt idx="198">
                  <c:v>4635</c:v>
                </c:pt>
                <c:pt idx="199">
                  <c:v>4645</c:v>
                </c:pt>
                <c:pt idx="200">
                  <c:v>4920</c:v>
                </c:pt>
                <c:pt idx="201">
                  <c:v>4910</c:v>
                </c:pt>
                <c:pt idx="202">
                  <c:v>4928</c:v>
                </c:pt>
                <c:pt idx="203">
                  <c:v>4909</c:v>
                </c:pt>
                <c:pt idx="204">
                  <c:v>4995</c:v>
                </c:pt>
                <c:pt idx="205">
                  <c:v>4945</c:v>
                </c:pt>
                <c:pt idx="206">
                  <c:v>5029.8999999999996</c:v>
                </c:pt>
                <c:pt idx="207">
                  <c:v>5059</c:v>
                </c:pt>
                <c:pt idx="208">
                  <c:v>5099</c:v>
                </c:pt>
                <c:pt idx="209">
                  <c:v>5017</c:v>
                </c:pt>
                <c:pt idx="210">
                  <c:v>4998</c:v>
                </c:pt>
                <c:pt idx="211">
                  <c:v>5000</c:v>
                </c:pt>
                <c:pt idx="212">
                  <c:v>4906</c:v>
                </c:pt>
                <c:pt idx="213">
                  <c:v>4900</c:v>
                </c:pt>
                <c:pt idx="214">
                  <c:v>4865.5</c:v>
                </c:pt>
                <c:pt idx="215">
                  <c:v>4899</c:v>
                </c:pt>
                <c:pt idx="216">
                  <c:v>4861.1000000000004</c:v>
                </c:pt>
                <c:pt idx="217">
                  <c:v>4801.6000000000004</c:v>
                </c:pt>
                <c:pt idx="218">
                  <c:v>4807.6000000000004</c:v>
                </c:pt>
                <c:pt idx="219">
                  <c:v>4780</c:v>
                </c:pt>
                <c:pt idx="220">
                  <c:v>4765.6000000000004</c:v>
                </c:pt>
                <c:pt idx="221">
                  <c:v>4856</c:v>
                </c:pt>
                <c:pt idx="222">
                  <c:v>4855.2</c:v>
                </c:pt>
                <c:pt idx="223">
                  <c:v>5031.1000000000004</c:v>
                </c:pt>
                <c:pt idx="224">
                  <c:v>5000.5</c:v>
                </c:pt>
                <c:pt idx="225">
                  <c:v>4950</c:v>
                </c:pt>
                <c:pt idx="226">
                  <c:v>4905</c:v>
                </c:pt>
                <c:pt idx="227">
                  <c:v>4695</c:v>
                </c:pt>
                <c:pt idx="228">
                  <c:v>4695.6000000000004</c:v>
                </c:pt>
                <c:pt idx="229">
                  <c:v>4788</c:v>
                </c:pt>
                <c:pt idx="230">
                  <c:v>4800.3</c:v>
                </c:pt>
                <c:pt idx="231">
                  <c:v>4826</c:v>
                </c:pt>
                <c:pt idx="232">
                  <c:v>4800</c:v>
                </c:pt>
                <c:pt idx="233">
                  <c:v>4836</c:v>
                </c:pt>
                <c:pt idx="234">
                  <c:v>4774.2</c:v>
                </c:pt>
                <c:pt idx="235">
                  <c:v>4800</c:v>
                </c:pt>
                <c:pt idx="236">
                  <c:v>4738</c:v>
                </c:pt>
                <c:pt idx="237">
                  <c:v>4549.3</c:v>
                </c:pt>
                <c:pt idx="238">
                  <c:v>4668</c:v>
                </c:pt>
                <c:pt idx="239">
                  <c:v>4601</c:v>
                </c:pt>
                <c:pt idx="240">
                  <c:v>4680</c:v>
                </c:pt>
                <c:pt idx="241">
                  <c:v>4816</c:v>
                </c:pt>
                <c:pt idx="242">
                  <c:v>4746.3</c:v>
                </c:pt>
                <c:pt idx="243">
                  <c:v>4647.3999999999996</c:v>
                </c:pt>
                <c:pt idx="244">
                  <c:v>4655.6000000000004</c:v>
                </c:pt>
                <c:pt idx="245">
                  <c:v>4760</c:v>
                </c:pt>
                <c:pt idx="246">
                  <c:v>4869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1D-4837-B1B9-AD0568CC4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802655"/>
        <c:axId val="277897775"/>
      </c:lineChart>
      <c:dateAx>
        <c:axId val="568802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897775"/>
        <c:crosses val="autoZero"/>
        <c:auto val="1"/>
        <c:lblOffset val="100"/>
        <c:baseTimeUnit val="days"/>
      </c:dateAx>
      <c:valAx>
        <c:axId val="27789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Close</a:t>
                </a:r>
                <a:r>
                  <a:rPr lang="en-US" baseline="0"/>
                  <a:t> price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0555555555555555E-2"/>
              <c:y val="0.366805555555555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80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HAL vs NIFTY 50 Daily Returns (4–6 February 2026)</a:t>
            </a:r>
            <a:endParaRPr lang="en-US"/>
          </a:p>
        </c:rich>
      </c:tx>
      <c:layout>
        <c:manualLayout>
          <c:xMode val="edge"/>
          <c:yMode val="edge"/>
          <c:x val="0.1424999999999999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HAL Return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Sheet5!$A$2:$A$4</c:f>
              <c:numCache>
                <c:formatCode>d\-mmm\-yy</c:formatCode>
                <c:ptCount val="3"/>
                <c:pt idx="0">
                  <c:v>46057</c:v>
                </c:pt>
                <c:pt idx="1">
                  <c:v>46058</c:v>
                </c:pt>
                <c:pt idx="2">
                  <c:v>46059</c:v>
                </c:pt>
              </c:numCache>
            </c:numRef>
          </c:cat>
          <c:val>
            <c:numRef>
              <c:f>Sheet5!$B$2:$B$4</c:f>
              <c:numCache>
                <c:formatCode>0.00</c:formatCode>
                <c:ptCount val="3"/>
                <c:pt idx="0">
                  <c:v>-5.6661596277737853</c:v>
                </c:pt>
                <c:pt idx="1">
                  <c:v>-4.3062768253064991</c:v>
                </c:pt>
                <c:pt idx="2">
                  <c:v>0.79296245818362043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3-4C7E-A3C9-019725F4D2B6}"/>
            </c:ext>
          </c:extLst>
        </c:ser>
        <c:ser>
          <c:idx val="1"/>
          <c:order val="1"/>
          <c:tx>
            <c:strRef>
              <c:f>Sheet5!$C$1</c:f>
              <c:strCache>
                <c:ptCount val="1"/>
                <c:pt idx="0">
                  <c:v>NIFTY 50 Return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Sheet5!$A$2:$A$4</c:f>
              <c:numCache>
                <c:formatCode>d\-mmm\-yy</c:formatCode>
                <c:ptCount val="3"/>
                <c:pt idx="0">
                  <c:v>46057</c:v>
                </c:pt>
                <c:pt idx="1">
                  <c:v>46058</c:v>
                </c:pt>
                <c:pt idx="2">
                  <c:v>46059</c:v>
                </c:pt>
              </c:numCache>
            </c:numRef>
          </c:cat>
          <c:val>
            <c:numRef>
              <c:f>Sheet5!$C$2:$C$4</c:f>
              <c:numCache>
                <c:formatCode>0.00</c:formatCode>
                <c:ptCount val="3"/>
                <c:pt idx="0">
                  <c:v>0.18831952517826506</c:v>
                </c:pt>
                <c:pt idx="1">
                  <c:v>-0.51675977653631566</c:v>
                </c:pt>
                <c:pt idx="2">
                  <c:v>0.19849626405853282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E3-4C7E-A3C9-019725F4D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988607"/>
        <c:axId val="568512399"/>
      </c:barChart>
      <c:dateAx>
        <c:axId val="565988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Date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512399"/>
        <c:crosses val="autoZero"/>
        <c:auto val="1"/>
        <c:lblOffset val="100"/>
        <c:baseTimeUnit val="days"/>
      </c:dateAx>
      <c:valAx>
        <c:axId val="5685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Daily Return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8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510540</xdr:colOff>
      <xdr:row>12</xdr:row>
      <xdr:rowOff>114300</xdr:rowOff>
    </xdr:from>
    <xdr:to>
      <xdr:col>16</xdr:col>
      <xdr:colOff>205740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996290-E5EA-0987-04F6-6F5CB2728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8</xdr:row>
      <xdr:rowOff>7620</xdr:rowOff>
    </xdr:from>
    <xdr:to>
      <xdr:col>12</xdr:col>
      <xdr:colOff>533400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202CB4-F401-1472-3A6E-472D4A44F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317A-CFD9-4F8D-AD83-116C44645229}">
  <dimension ref="A1:O248"/>
  <sheetViews>
    <sheetView tabSelected="1" workbookViewId="0">
      <selection activeCell="K177" sqref="K177"/>
    </sheetView>
  </sheetViews>
  <sheetFormatPr defaultRowHeight="14.45"/>
  <cols>
    <col min="2" max="2" width="9.28515625" customWidth="1"/>
    <col min="3" max="3" width="12.140625" customWidth="1"/>
    <col min="4" max="4" width="10.85546875" customWidth="1"/>
    <col min="5" max="5" width="10.42578125" customWidth="1"/>
    <col min="10" max="10" width="13.140625" customWidth="1"/>
    <col min="11" max="11" width="18.85546875" customWidth="1"/>
    <col min="12" max="12" width="17.7109375" customWidth="1"/>
    <col min="13" max="13" width="14.28515625" customWidth="1"/>
    <col min="14" max="14" width="14" customWidth="1"/>
    <col min="15" max="15" width="20.7109375" customWidth="1"/>
  </cols>
  <sheetData>
    <row r="1" spans="1: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</row>
    <row r="2" spans="1:15">
      <c r="A2" t="s">
        <v>15</v>
      </c>
      <c r="B2" t="s">
        <v>16</v>
      </c>
      <c r="C2" s="1">
        <v>46308</v>
      </c>
      <c r="D2" s="2">
        <v>4760</v>
      </c>
      <c r="E2" s="2">
        <v>4760</v>
      </c>
      <c r="F2" s="2">
        <v>4875</v>
      </c>
      <c r="G2" s="2">
        <v>4720</v>
      </c>
      <c r="H2" s="2">
        <v>4869</v>
      </c>
      <c r="I2" s="2">
        <v>4869</v>
      </c>
      <c r="J2" s="2">
        <v>4813.37</v>
      </c>
      <c r="K2" s="3">
        <v>607858</v>
      </c>
      <c r="L2" s="2">
        <v>2925844454.5999999</v>
      </c>
      <c r="M2" s="3">
        <v>42294</v>
      </c>
      <c r="N2" s="3">
        <v>287471</v>
      </c>
      <c r="O2">
        <v>47.29</v>
      </c>
    </row>
    <row r="3" spans="1:15">
      <c r="A3" t="s">
        <v>15</v>
      </c>
      <c r="B3" t="s">
        <v>16</v>
      </c>
      <c r="C3" s="1">
        <v>46307</v>
      </c>
      <c r="D3" s="2">
        <v>4655.6000000000004</v>
      </c>
      <c r="E3" s="2">
        <v>4662</v>
      </c>
      <c r="F3" s="2">
        <v>4777</v>
      </c>
      <c r="G3" s="2">
        <v>4662</v>
      </c>
      <c r="H3" s="2">
        <v>4760</v>
      </c>
      <c r="I3" s="2">
        <v>4760</v>
      </c>
      <c r="J3" s="2">
        <v>4744.47</v>
      </c>
      <c r="K3" s="3">
        <v>527818</v>
      </c>
      <c r="L3" s="2">
        <v>2504218765.6999998</v>
      </c>
      <c r="M3" s="3">
        <v>36084</v>
      </c>
      <c r="N3" s="3">
        <v>262568</v>
      </c>
      <c r="O3">
        <v>49.75</v>
      </c>
    </row>
    <row r="4" spans="1:15">
      <c r="A4" t="s">
        <v>15</v>
      </c>
      <c r="B4" t="s">
        <v>16</v>
      </c>
      <c r="C4" s="1">
        <v>46304</v>
      </c>
      <c r="D4" s="2">
        <v>4647.3999999999996</v>
      </c>
      <c r="E4" s="2">
        <v>4650</v>
      </c>
      <c r="F4" s="2">
        <v>4696</v>
      </c>
      <c r="G4" s="2">
        <v>4590</v>
      </c>
      <c r="H4" s="2">
        <v>4655.6000000000004</v>
      </c>
      <c r="I4" s="2">
        <v>4655.6000000000004</v>
      </c>
      <c r="J4" s="2">
        <v>4658.83</v>
      </c>
      <c r="K4" s="3">
        <v>503087</v>
      </c>
      <c r="L4" s="2">
        <v>2343795691.5999999</v>
      </c>
      <c r="M4" s="3">
        <v>33850</v>
      </c>
      <c r="N4" s="3">
        <v>177288</v>
      </c>
      <c r="O4">
        <v>35.24</v>
      </c>
    </row>
    <row r="5" spans="1:15">
      <c r="A5" t="s">
        <v>15</v>
      </c>
      <c r="B5" t="s">
        <v>16</v>
      </c>
      <c r="C5" s="1">
        <v>46303</v>
      </c>
      <c r="D5" s="2">
        <v>4746.3</v>
      </c>
      <c r="E5" s="2">
        <v>4756.7</v>
      </c>
      <c r="F5" s="2">
        <v>4759.8</v>
      </c>
      <c r="G5" s="2">
        <v>4620.5</v>
      </c>
      <c r="H5" s="2">
        <v>4647.3999999999996</v>
      </c>
      <c r="I5" s="2">
        <v>4647.3999999999996</v>
      </c>
      <c r="J5" s="2">
        <v>4678.3599999999997</v>
      </c>
      <c r="K5" s="3">
        <v>521431</v>
      </c>
      <c r="L5" s="2">
        <v>2439441771.5999999</v>
      </c>
      <c r="M5" s="3">
        <v>39062</v>
      </c>
      <c r="N5" s="3">
        <v>258290</v>
      </c>
      <c r="O5">
        <v>49.53</v>
      </c>
    </row>
    <row r="6" spans="1:15">
      <c r="A6" t="s">
        <v>15</v>
      </c>
      <c r="B6" t="s">
        <v>16</v>
      </c>
      <c r="C6" s="1">
        <v>46302</v>
      </c>
      <c r="D6" s="2">
        <v>4816</v>
      </c>
      <c r="E6" s="2">
        <v>4819.8999999999996</v>
      </c>
      <c r="F6" s="2">
        <v>4831.3999999999996</v>
      </c>
      <c r="G6" s="2">
        <v>4732.1000000000004</v>
      </c>
      <c r="H6" s="2">
        <v>4746.3</v>
      </c>
      <c r="I6" s="2">
        <v>4746.3</v>
      </c>
      <c r="J6" s="2">
        <v>4781.6499999999996</v>
      </c>
      <c r="K6" s="3">
        <v>515972</v>
      </c>
      <c r="L6" s="2">
        <v>2467197422.4000001</v>
      </c>
      <c r="M6" s="3">
        <v>40877</v>
      </c>
      <c r="N6" s="3">
        <v>255469</v>
      </c>
      <c r="O6">
        <v>49.51</v>
      </c>
    </row>
    <row r="7" spans="1:15">
      <c r="A7" t="s">
        <v>15</v>
      </c>
      <c r="B7" t="s">
        <v>16</v>
      </c>
      <c r="C7" s="1">
        <v>46301</v>
      </c>
      <c r="D7" s="2">
        <v>4680</v>
      </c>
      <c r="E7" s="2">
        <v>4680</v>
      </c>
      <c r="F7" s="2">
        <v>4837.1000000000004</v>
      </c>
      <c r="G7" s="2">
        <v>4680</v>
      </c>
      <c r="H7" s="2">
        <v>4816</v>
      </c>
      <c r="I7" s="2">
        <v>4816</v>
      </c>
      <c r="J7" s="2">
        <v>4783.6099999999997</v>
      </c>
      <c r="K7" s="3">
        <v>935720</v>
      </c>
      <c r="L7" s="2">
        <v>4476119964.1000004</v>
      </c>
      <c r="M7" s="3">
        <v>71654</v>
      </c>
      <c r="N7" s="3">
        <v>528676</v>
      </c>
      <c r="O7">
        <v>56.5</v>
      </c>
    </row>
    <row r="8" spans="1:15">
      <c r="A8" t="s">
        <v>15</v>
      </c>
      <c r="B8" t="s">
        <v>16</v>
      </c>
      <c r="C8" s="1">
        <v>46300</v>
      </c>
      <c r="D8" s="2">
        <v>4601</v>
      </c>
      <c r="E8" s="2">
        <v>4601</v>
      </c>
      <c r="F8" s="2">
        <v>4688</v>
      </c>
      <c r="G8" s="2">
        <v>4601</v>
      </c>
      <c r="H8" s="2">
        <v>4680</v>
      </c>
      <c r="I8" s="2">
        <v>4680</v>
      </c>
      <c r="J8" s="2">
        <v>4661.33</v>
      </c>
      <c r="K8" s="3">
        <v>465865</v>
      </c>
      <c r="L8" s="2">
        <v>2171552534.5999999</v>
      </c>
      <c r="M8" s="3">
        <v>52986</v>
      </c>
      <c r="N8" s="3">
        <v>263181</v>
      </c>
      <c r="O8">
        <v>56.49</v>
      </c>
    </row>
    <row r="9" spans="1:15">
      <c r="A9" t="s">
        <v>15</v>
      </c>
      <c r="B9" t="s">
        <v>16</v>
      </c>
      <c r="C9" s="1">
        <v>46296</v>
      </c>
      <c r="D9" s="2">
        <v>4668</v>
      </c>
      <c r="E9" s="2">
        <v>4666</v>
      </c>
      <c r="F9" s="2">
        <v>4699.7</v>
      </c>
      <c r="G9" s="2">
        <v>4559.3</v>
      </c>
      <c r="H9" s="2">
        <v>4601</v>
      </c>
      <c r="I9" s="2">
        <v>4601</v>
      </c>
      <c r="J9" s="2">
        <v>4634.91</v>
      </c>
      <c r="K9" s="3">
        <v>739864</v>
      </c>
      <c r="L9" s="2">
        <v>3429201549.9000001</v>
      </c>
      <c r="M9" s="3">
        <v>67972</v>
      </c>
      <c r="N9" s="3">
        <v>314778</v>
      </c>
      <c r="O9">
        <v>42.55</v>
      </c>
    </row>
    <row r="10" spans="1:15">
      <c r="A10" t="s">
        <v>15</v>
      </c>
      <c r="B10" t="s">
        <v>16</v>
      </c>
      <c r="C10" s="1">
        <v>46295</v>
      </c>
      <c r="D10" s="2">
        <v>4549.3</v>
      </c>
      <c r="E10" s="2">
        <v>4640</v>
      </c>
      <c r="F10" s="2">
        <v>4701</v>
      </c>
      <c r="G10" s="2">
        <v>4614.7</v>
      </c>
      <c r="H10" s="2">
        <v>4668</v>
      </c>
      <c r="I10" s="2">
        <v>4668</v>
      </c>
      <c r="J10" s="2">
        <v>4668.1400000000003</v>
      </c>
      <c r="K10" s="3">
        <v>1233758</v>
      </c>
      <c r="L10" s="2">
        <v>5759356710.6000004</v>
      </c>
      <c r="M10" s="3">
        <v>62129</v>
      </c>
      <c r="N10" s="3">
        <v>659216</v>
      </c>
      <c r="O10">
        <v>53.43</v>
      </c>
    </row>
    <row r="11" spans="1:15">
      <c r="A11" t="s">
        <v>15</v>
      </c>
      <c r="B11" t="s">
        <v>16</v>
      </c>
      <c r="C11" s="1">
        <v>46294</v>
      </c>
      <c r="D11" s="2">
        <v>4738</v>
      </c>
      <c r="E11" s="2">
        <v>4723</v>
      </c>
      <c r="F11" s="2">
        <v>4723.1000000000004</v>
      </c>
      <c r="G11" s="2">
        <v>4549.3</v>
      </c>
      <c r="H11" s="2">
        <v>4549.3</v>
      </c>
      <c r="I11" s="2">
        <v>4549.3</v>
      </c>
      <c r="J11" s="2">
        <v>4640.3900000000003</v>
      </c>
      <c r="K11" s="3">
        <v>1096291</v>
      </c>
      <c r="L11" s="2">
        <v>5087213576.3999996</v>
      </c>
      <c r="M11" s="3">
        <v>48346</v>
      </c>
      <c r="N11" s="3">
        <v>770580</v>
      </c>
      <c r="O11">
        <v>70.290000000000006</v>
      </c>
    </row>
    <row r="12" spans="1:15">
      <c r="A12" t="s">
        <v>15</v>
      </c>
      <c r="B12" t="s">
        <v>16</v>
      </c>
      <c r="C12" s="1">
        <v>46293</v>
      </c>
      <c r="D12" s="2">
        <v>4800</v>
      </c>
      <c r="E12" s="2">
        <v>4790.1000000000004</v>
      </c>
      <c r="F12" s="2">
        <v>4793.8999999999996</v>
      </c>
      <c r="G12" s="2">
        <v>4720.7</v>
      </c>
      <c r="H12" s="2">
        <v>4738</v>
      </c>
      <c r="I12" s="2">
        <v>4738</v>
      </c>
      <c r="J12" s="2">
        <v>4746.55</v>
      </c>
      <c r="K12" s="3">
        <v>810334</v>
      </c>
      <c r="L12" s="2">
        <v>3846292413.4000001</v>
      </c>
      <c r="M12" s="3">
        <v>43491</v>
      </c>
      <c r="N12" s="3">
        <v>530977</v>
      </c>
      <c r="O12">
        <v>65.53</v>
      </c>
    </row>
    <row r="13" spans="1:15">
      <c r="A13" t="s">
        <v>15</v>
      </c>
      <c r="B13" t="s">
        <v>16</v>
      </c>
      <c r="C13" s="1">
        <v>46290</v>
      </c>
      <c r="D13" s="2">
        <v>4774.2</v>
      </c>
      <c r="E13" s="2">
        <v>4774.2</v>
      </c>
      <c r="F13" s="2">
        <v>4819.5</v>
      </c>
      <c r="G13" s="2">
        <v>4760.1000000000004</v>
      </c>
      <c r="H13" s="2">
        <v>4800</v>
      </c>
      <c r="I13" s="2">
        <v>4800</v>
      </c>
      <c r="J13" s="2">
        <v>4788.29</v>
      </c>
      <c r="K13" s="3">
        <v>384467</v>
      </c>
      <c r="L13" s="2">
        <v>1840940142.4000001</v>
      </c>
      <c r="M13" s="3">
        <v>30272</v>
      </c>
      <c r="N13" s="3">
        <v>190961</v>
      </c>
      <c r="O13">
        <v>49.67</v>
      </c>
    </row>
    <row r="14" spans="1:15">
      <c r="A14" t="s">
        <v>15</v>
      </c>
      <c r="B14" t="s">
        <v>16</v>
      </c>
      <c r="C14" s="1">
        <v>46289</v>
      </c>
      <c r="D14" s="2">
        <v>4836</v>
      </c>
      <c r="E14" s="2">
        <v>4810</v>
      </c>
      <c r="F14" s="2">
        <v>4846.7</v>
      </c>
      <c r="G14" s="2">
        <v>4770</v>
      </c>
      <c r="H14" s="2">
        <v>4774.2</v>
      </c>
      <c r="I14" s="2">
        <v>4774.2</v>
      </c>
      <c r="J14" s="2">
        <v>4812.9399999999996</v>
      </c>
      <c r="K14" s="3">
        <v>357585</v>
      </c>
      <c r="L14" s="2">
        <v>1721033585.0999999</v>
      </c>
      <c r="M14" s="3">
        <v>25827</v>
      </c>
      <c r="N14" s="3">
        <v>152459</v>
      </c>
      <c r="O14">
        <v>42.64</v>
      </c>
    </row>
    <row r="15" spans="1:15">
      <c r="A15" t="s">
        <v>15</v>
      </c>
      <c r="B15" t="s">
        <v>16</v>
      </c>
      <c r="C15" s="1">
        <v>46288</v>
      </c>
      <c r="D15" s="2">
        <v>4800</v>
      </c>
      <c r="E15" s="2">
        <v>4810</v>
      </c>
      <c r="F15" s="2">
        <v>4849</v>
      </c>
      <c r="G15" s="2">
        <v>4802</v>
      </c>
      <c r="H15" s="2">
        <v>4836</v>
      </c>
      <c r="I15" s="2">
        <v>4836</v>
      </c>
      <c r="J15" s="2">
        <v>4830.51</v>
      </c>
      <c r="K15" s="3">
        <v>432866</v>
      </c>
      <c r="L15" s="2">
        <v>2090961928.7</v>
      </c>
      <c r="M15" s="3">
        <v>27087</v>
      </c>
      <c r="N15" s="3">
        <v>218941</v>
      </c>
      <c r="O15">
        <v>50.58</v>
      </c>
    </row>
    <row r="16" spans="1:15">
      <c r="A16" t="s">
        <v>15</v>
      </c>
      <c r="B16" t="s">
        <v>16</v>
      </c>
      <c r="C16" s="1">
        <v>46287</v>
      </c>
      <c r="D16" s="2">
        <v>4826</v>
      </c>
      <c r="E16" s="2">
        <v>4834.8</v>
      </c>
      <c r="F16" s="2">
        <v>4879.5</v>
      </c>
      <c r="G16" s="2">
        <v>4776.2</v>
      </c>
      <c r="H16" s="2">
        <v>4800</v>
      </c>
      <c r="I16" s="2">
        <v>4800</v>
      </c>
      <c r="J16" s="2">
        <v>4809.3</v>
      </c>
      <c r="K16" s="3">
        <v>548249</v>
      </c>
      <c r="L16" s="2">
        <v>2636695548.8000002</v>
      </c>
      <c r="M16" s="3">
        <v>42184</v>
      </c>
      <c r="N16" s="3">
        <v>247140</v>
      </c>
      <c r="O16">
        <v>45.08</v>
      </c>
    </row>
    <row r="17" spans="1:15">
      <c r="A17" t="s">
        <v>15</v>
      </c>
      <c r="B17" t="s">
        <v>16</v>
      </c>
      <c r="C17" s="1">
        <v>46286</v>
      </c>
      <c r="D17" s="2">
        <v>4800.3</v>
      </c>
      <c r="E17" s="2">
        <v>4850</v>
      </c>
      <c r="F17" s="2">
        <v>4888.8999999999996</v>
      </c>
      <c r="G17" s="2">
        <v>4825</v>
      </c>
      <c r="H17" s="2">
        <v>4826</v>
      </c>
      <c r="I17" s="2">
        <v>4826</v>
      </c>
      <c r="J17" s="2">
        <v>4853.8</v>
      </c>
      <c r="K17" s="3">
        <v>784570</v>
      </c>
      <c r="L17" s="2">
        <v>3808142835.0999999</v>
      </c>
      <c r="M17" s="3">
        <v>61733</v>
      </c>
      <c r="N17" s="3">
        <v>368723</v>
      </c>
      <c r="O17">
        <v>47</v>
      </c>
    </row>
    <row r="18" spans="1:15">
      <c r="A18" t="s">
        <v>15</v>
      </c>
      <c r="B18" t="s">
        <v>16</v>
      </c>
      <c r="C18" s="1">
        <v>46283</v>
      </c>
      <c r="D18" s="2">
        <v>4788</v>
      </c>
      <c r="E18" s="2">
        <v>4804.8999999999996</v>
      </c>
      <c r="F18" s="2">
        <v>4890</v>
      </c>
      <c r="G18" s="2">
        <v>4780</v>
      </c>
      <c r="H18" s="2">
        <v>4800.3</v>
      </c>
      <c r="I18" s="2">
        <v>4800.3</v>
      </c>
      <c r="J18" s="2">
        <v>4836.55</v>
      </c>
      <c r="K18" s="3">
        <v>972849</v>
      </c>
      <c r="L18" s="2">
        <v>4705232063.3000002</v>
      </c>
      <c r="M18" s="3">
        <v>53601</v>
      </c>
      <c r="N18" s="3">
        <v>501625</v>
      </c>
      <c r="O18">
        <v>51.56</v>
      </c>
    </row>
    <row r="19" spans="1:15">
      <c r="A19" t="s">
        <v>15</v>
      </c>
      <c r="B19" t="s">
        <v>16</v>
      </c>
      <c r="C19" s="1">
        <v>46282</v>
      </c>
      <c r="D19" s="2">
        <v>4695.6000000000004</v>
      </c>
      <c r="E19" s="2">
        <v>4699</v>
      </c>
      <c r="F19" s="2">
        <v>4799</v>
      </c>
      <c r="G19" s="2">
        <v>4687</v>
      </c>
      <c r="H19" s="2">
        <v>4788</v>
      </c>
      <c r="I19" s="2">
        <v>4788</v>
      </c>
      <c r="J19" s="2">
        <v>4756.2299999999996</v>
      </c>
      <c r="K19" s="3">
        <v>528884</v>
      </c>
      <c r="L19" s="2">
        <v>2515493813.6999998</v>
      </c>
      <c r="M19" s="3">
        <v>42073</v>
      </c>
      <c r="N19" s="3">
        <v>185320</v>
      </c>
      <c r="O19">
        <v>35.04</v>
      </c>
    </row>
    <row r="20" spans="1:15">
      <c r="A20" t="s">
        <v>15</v>
      </c>
      <c r="B20" t="s">
        <v>16</v>
      </c>
      <c r="C20" s="1">
        <v>46281</v>
      </c>
      <c r="D20" s="2">
        <v>4695</v>
      </c>
      <c r="E20" s="2">
        <v>4690</v>
      </c>
      <c r="F20" s="2">
        <v>4709.6000000000004</v>
      </c>
      <c r="G20" s="2">
        <v>4615.8</v>
      </c>
      <c r="H20" s="2">
        <v>4695.6000000000004</v>
      </c>
      <c r="I20" s="2">
        <v>4695.6000000000004</v>
      </c>
      <c r="J20" s="2">
        <v>4674.3100000000004</v>
      </c>
      <c r="K20" s="3">
        <v>679509</v>
      </c>
      <c r="L20" s="2">
        <v>3176237686.6999998</v>
      </c>
      <c r="M20" s="3">
        <v>54067</v>
      </c>
      <c r="N20" s="3">
        <v>311941</v>
      </c>
      <c r="O20">
        <v>45.91</v>
      </c>
    </row>
    <row r="21" spans="1:15">
      <c r="A21" t="s">
        <v>15</v>
      </c>
      <c r="B21" t="s">
        <v>16</v>
      </c>
      <c r="C21" s="1">
        <v>46280</v>
      </c>
      <c r="D21" s="2">
        <v>4905</v>
      </c>
      <c r="E21" s="2">
        <v>4920</v>
      </c>
      <c r="F21" s="2">
        <v>4940</v>
      </c>
      <c r="G21" s="2">
        <v>4674</v>
      </c>
      <c r="H21" s="2">
        <v>4695</v>
      </c>
      <c r="I21" s="2">
        <v>4695</v>
      </c>
      <c r="J21" s="2">
        <v>4758.1400000000003</v>
      </c>
      <c r="K21" s="3">
        <v>809202</v>
      </c>
      <c r="L21" s="2">
        <v>3850296516.0999999</v>
      </c>
      <c r="M21" s="3">
        <v>68013</v>
      </c>
      <c r="N21" s="3">
        <v>391901</v>
      </c>
      <c r="O21">
        <v>48.43</v>
      </c>
    </row>
    <row r="22" spans="1:15">
      <c r="A22" t="s">
        <v>15</v>
      </c>
      <c r="B22" t="s">
        <v>16</v>
      </c>
      <c r="C22" s="1">
        <v>46276</v>
      </c>
      <c r="D22" s="2">
        <v>4950</v>
      </c>
      <c r="E22" s="2">
        <v>4930</v>
      </c>
      <c r="F22" s="2">
        <v>4930</v>
      </c>
      <c r="G22" s="2">
        <v>4875</v>
      </c>
      <c r="H22" s="2">
        <v>4905</v>
      </c>
      <c r="I22" s="2">
        <v>4905</v>
      </c>
      <c r="J22" s="2">
        <v>4903.79</v>
      </c>
      <c r="K22" s="3">
        <v>762754</v>
      </c>
      <c r="L22" s="2">
        <v>3740385890.5999999</v>
      </c>
      <c r="M22" s="3">
        <v>38493</v>
      </c>
      <c r="N22" s="3">
        <v>373240</v>
      </c>
      <c r="O22">
        <v>57.15</v>
      </c>
    </row>
    <row r="23" spans="1:15">
      <c r="A23" t="s">
        <v>15</v>
      </c>
      <c r="B23" t="s">
        <v>16</v>
      </c>
      <c r="C23" s="1">
        <v>46275</v>
      </c>
      <c r="D23" s="2">
        <v>5000.5</v>
      </c>
      <c r="E23" s="2">
        <v>5015</v>
      </c>
      <c r="F23" s="2">
        <v>5052.3999999999996</v>
      </c>
      <c r="G23" s="2">
        <v>4914.6000000000004</v>
      </c>
      <c r="H23" s="2">
        <v>4950</v>
      </c>
      <c r="I23" s="2">
        <v>4950</v>
      </c>
      <c r="J23" s="2">
        <v>4969.2</v>
      </c>
      <c r="K23" s="3">
        <v>688500</v>
      </c>
      <c r="L23" s="2">
        <v>3421297111.6999998</v>
      </c>
      <c r="M23" s="3">
        <v>46689</v>
      </c>
      <c r="N23" s="3">
        <v>312149</v>
      </c>
      <c r="O23">
        <v>45.34</v>
      </c>
    </row>
    <row r="24" spans="1:15">
      <c r="A24" t="s">
        <v>15</v>
      </c>
      <c r="B24" t="s">
        <v>16</v>
      </c>
      <c r="C24" s="1">
        <v>46274</v>
      </c>
      <c r="D24" s="2">
        <v>5031.1000000000004</v>
      </c>
      <c r="E24" s="2">
        <v>5031.1000000000004</v>
      </c>
      <c r="F24" s="2">
        <v>5097.3999999999996</v>
      </c>
      <c r="G24" s="2">
        <v>5000.5</v>
      </c>
      <c r="H24" s="2">
        <v>5000.5</v>
      </c>
      <c r="I24" s="2">
        <v>5000.5</v>
      </c>
      <c r="J24" s="2">
        <v>5046.58</v>
      </c>
      <c r="K24" s="3">
        <v>1669937</v>
      </c>
      <c r="L24" s="2">
        <v>8427466381</v>
      </c>
      <c r="M24" s="3">
        <v>83594</v>
      </c>
      <c r="N24" s="3">
        <v>856205</v>
      </c>
      <c r="O24">
        <v>51.27</v>
      </c>
    </row>
    <row r="25" spans="1:15">
      <c r="A25" t="s">
        <v>15</v>
      </c>
      <c r="B25" t="s">
        <v>16</v>
      </c>
      <c r="C25" s="1">
        <v>46273</v>
      </c>
      <c r="D25" s="2">
        <v>4855.2</v>
      </c>
      <c r="E25" s="2">
        <v>4904.1000000000004</v>
      </c>
      <c r="F25" s="2">
        <v>5072</v>
      </c>
      <c r="G25" s="2">
        <v>4903.7</v>
      </c>
      <c r="H25" s="2">
        <v>5031.1000000000004</v>
      </c>
      <c r="I25" s="2">
        <v>5031.1000000000004</v>
      </c>
      <c r="J25" s="2">
        <v>5023.53</v>
      </c>
      <c r="K25" s="3">
        <v>2553021</v>
      </c>
      <c r="L25" s="2">
        <v>12825178050.4</v>
      </c>
      <c r="M25" s="3">
        <v>151412</v>
      </c>
      <c r="N25" s="3">
        <v>1050518</v>
      </c>
      <c r="O25">
        <v>41.15</v>
      </c>
    </row>
    <row r="26" spans="1:15">
      <c r="A26" t="s">
        <v>15</v>
      </c>
      <c r="B26" t="s">
        <v>16</v>
      </c>
      <c r="C26" s="1">
        <v>46272</v>
      </c>
      <c r="D26" s="2">
        <v>4856</v>
      </c>
      <c r="E26" s="2">
        <v>4884.8</v>
      </c>
      <c r="F26" s="2">
        <v>4909.8999999999996</v>
      </c>
      <c r="G26" s="2">
        <v>4835.3999999999996</v>
      </c>
      <c r="H26" s="2">
        <v>4855.2</v>
      </c>
      <c r="I26" s="2">
        <v>4855.2</v>
      </c>
      <c r="J26" s="2">
        <v>4873.0200000000004</v>
      </c>
      <c r="K26" s="3">
        <v>602641</v>
      </c>
      <c r="L26" s="2">
        <v>2936679614.1999998</v>
      </c>
      <c r="M26" s="3">
        <v>44859</v>
      </c>
      <c r="N26" s="3">
        <v>280912</v>
      </c>
      <c r="O26">
        <v>46.61</v>
      </c>
    </row>
    <row r="27" spans="1:15">
      <c r="A27" t="s">
        <v>15</v>
      </c>
      <c r="B27" t="s">
        <v>16</v>
      </c>
      <c r="C27" s="1">
        <v>46269</v>
      </c>
      <c r="D27" s="2">
        <v>4765.6000000000004</v>
      </c>
      <c r="E27" s="2">
        <v>4831</v>
      </c>
      <c r="F27" s="2">
        <v>4936</v>
      </c>
      <c r="G27" s="2">
        <v>4817.3999999999996</v>
      </c>
      <c r="H27" s="2">
        <v>4856</v>
      </c>
      <c r="I27" s="2">
        <v>4856</v>
      </c>
      <c r="J27" s="2">
        <v>4894.75</v>
      </c>
      <c r="K27" s="3">
        <v>1399667</v>
      </c>
      <c r="L27" s="2">
        <v>6851018941.6999998</v>
      </c>
      <c r="M27" s="3">
        <v>77137</v>
      </c>
      <c r="N27" s="3">
        <v>445970</v>
      </c>
      <c r="O27">
        <v>31.86</v>
      </c>
    </row>
    <row r="28" spans="1:15">
      <c r="A28" t="s">
        <v>15</v>
      </c>
      <c r="B28" t="s">
        <v>16</v>
      </c>
      <c r="C28" s="1">
        <v>46268</v>
      </c>
      <c r="D28" s="2">
        <v>4780</v>
      </c>
      <c r="E28" s="2">
        <v>4793</v>
      </c>
      <c r="F28" s="2">
        <v>4810</v>
      </c>
      <c r="G28" s="2">
        <v>4750</v>
      </c>
      <c r="H28" s="2">
        <v>4765.6000000000004</v>
      </c>
      <c r="I28" s="2">
        <v>4765.6000000000004</v>
      </c>
      <c r="J28" s="2">
        <v>4776.08</v>
      </c>
      <c r="K28" s="3">
        <v>401080</v>
      </c>
      <c r="L28" s="2">
        <v>1915591378.9000001</v>
      </c>
      <c r="M28" s="3">
        <v>28333</v>
      </c>
      <c r="N28" s="3">
        <v>161936</v>
      </c>
      <c r="O28">
        <v>40.369999999999997</v>
      </c>
    </row>
    <row r="29" spans="1:15">
      <c r="A29" t="s">
        <v>15</v>
      </c>
      <c r="B29" t="s">
        <v>16</v>
      </c>
      <c r="C29" s="1">
        <v>46267</v>
      </c>
      <c r="D29" s="2">
        <v>4807.6000000000004</v>
      </c>
      <c r="E29" s="2">
        <v>4785</v>
      </c>
      <c r="F29" s="2">
        <v>4793.5</v>
      </c>
      <c r="G29" s="2">
        <v>4707</v>
      </c>
      <c r="H29" s="2">
        <v>4780</v>
      </c>
      <c r="I29" s="2">
        <v>4780</v>
      </c>
      <c r="J29" s="2">
        <v>4744.4799999999996</v>
      </c>
      <c r="K29" s="3">
        <v>525620</v>
      </c>
      <c r="L29" s="2">
        <v>2493794982.8000002</v>
      </c>
      <c r="M29" s="3">
        <v>38580</v>
      </c>
      <c r="N29" s="3">
        <v>234496</v>
      </c>
      <c r="O29">
        <v>44.61</v>
      </c>
    </row>
    <row r="30" spans="1:15">
      <c r="A30" t="s">
        <v>15</v>
      </c>
      <c r="B30" t="s">
        <v>16</v>
      </c>
      <c r="C30" s="1">
        <v>46266</v>
      </c>
      <c r="D30" s="2">
        <v>4801.6000000000004</v>
      </c>
      <c r="E30" s="2">
        <v>4801.6000000000004</v>
      </c>
      <c r="F30" s="2">
        <v>4819.6000000000004</v>
      </c>
      <c r="G30" s="2">
        <v>4771.6000000000004</v>
      </c>
      <c r="H30" s="2">
        <v>4807.6000000000004</v>
      </c>
      <c r="I30" s="2">
        <v>4807.6000000000004</v>
      </c>
      <c r="J30" s="2">
        <v>4796.16</v>
      </c>
      <c r="K30" s="3">
        <v>492865</v>
      </c>
      <c r="L30" s="2">
        <v>2363857395.4000001</v>
      </c>
      <c r="M30" s="3">
        <v>35140</v>
      </c>
      <c r="N30" s="3">
        <v>261638</v>
      </c>
      <c r="O30">
        <v>53.09</v>
      </c>
    </row>
    <row r="31" spans="1:15">
      <c r="A31" t="s">
        <v>15</v>
      </c>
      <c r="B31" t="s">
        <v>16</v>
      </c>
      <c r="C31" s="1">
        <v>46265</v>
      </c>
      <c r="D31" s="2">
        <v>4861.1000000000004</v>
      </c>
      <c r="E31" s="2">
        <v>4836.8999999999996</v>
      </c>
      <c r="F31" s="2">
        <v>4844</v>
      </c>
      <c r="G31" s="2">
        <v>4777</v>
      </c>
      <c r="H31" s="2">
        <v>4801.6000000000004</v>
      </c>
      <c r="I31" s="2">
        <v>4801.6000000000004</v>
      </c>
      <c r="J31" s="2">
        <v>4804.6099999999997</v>
      </c>
      <c r="K31" s="3">
        <v>681564</v>
      </c>
      <c r="L31" s="2">
        <v>3274649180.9000001</v>
      </c>
      <c r="M31" s="3">
        <v>32017</v>
      </c>
      <c r="N31" s="3">
        <v>415778</v>
      </c>
      <c r="O31">
        <v>61</v>
      </c>
    </row>
    <row r="32" spans="1:15">
      <c r="A32" t="s">
        <v>15</v>
      </c>
      <c r="B32" t="s">
        <v>16</v>
      </c>
      <c r="C32" s="1">
        <v>46262</v>
      </c>
      <c r="D32" s="2">
        <v>4899</v>
      </c>
      <c r="E32" s="2">
        <v>4884.1000000000004</v>
      </c>
      <c r="F32" s="2">
        <v>4890</v>
      </c>
      <c r="G32" s="2">
        <v>4816</v>
      </c>
      <c r="H32" s="2">
        <v>4861.1000000000004</v>
      </c>
      <c r="I32" s="2">
        <v>4861.1000000000004</v>
      </c>
      <c r="J32" s="2">
        <v>4849.2</v>
      </c>
      <c r="K32" s="3">
        <v>484334</v>
      </c>
      <c r="L32" s="2">
        <v>2348630947.9000001</v>
      </c>
      <c r="M32" s="3">
        <v>35812</v>
      </c>
      <c r="N32" s="3">
        <v>225857</v>
      </c>
      <c r="O32">
        <v>46.63</v>
      </c>
    </row>
    <row r="33" spans="1:15">
      <c r="A33" t="s">
        <v>15</v>
      </c>
      <c r="B33" t="s">
        <v>16</v>
      </c>
      <c r="C33" s="1">
        <v>46261</v>
      </c>
      <c r="D33" s="2">
        <v>4865.5</v>
      </c>
      <c r="E33" s="2">
        <v>4900</v>
      </c>
      <c r="F33" s="2">
        <v>4935</v>
      </c>
      <c r="G33" s="2">
        <v>4875</v>
      </c>
      <c r="H33" s="2">
        <v>4899</v>
      </c>
      <c r="I33" s="2">
        <v>4899</v>
      </c>
      <c r="J33" s="2">
        <v>4893.3999999999996</v>
      </c>
      <c r="K33" s="3">
        <v>351457</v>
      </c>
      <c r="L33" s="2">
        <v>1719820174.4000001</v>
      </c>
      <c r="M33" s="3">
        <v>24541</v>
      </c>
      <c r="N33" s="3">
        <v>172432</v>
      </c>
      <c r="O33">
        <v>49.06</v>
      </c>
    </row>
    <row r="34" spans="1:15">
      <c r="A34" t="s">
        <v>15</v>
      </c>
      <c r="B34" t="s">
        <v>16</v>
      </c>
      <c r="C34" s="1">
        <v>46260</v>
      </c>
      <c r="D34" s="2">
        <v>4900</v>
      </c>
      <c r="E34" s="2">
        <v>4877.3999999999996</v>
      </c>
      <c r="F34" s="2">
        <v>4937.6000000000004</v>
      </c>
      <c r="G34" s="2">
        <v>4865.5</v>
      </c>
      <c r="H34" s="2">
        <v>4865.5</v>
      </c>
      <c r="I34" s="2">
        <v>4865.5</v>
      </c>
      <c r="J34" s="2">
        <v>4899.45</v>
      </c>
      <c r="K34" s="3">
        <v>416245</v>
      </c>
      <c r="L34" s="2">
        <v>2039372291.5999999</v>
      </c>
      <c r="M34" s="3">
        <v>32452</v>
      </c>
      <c r="N34" s="3">
        <v>164181</v>
      </c>
      <c r="O34">
        <v>39.44</v>
      </c>
    </row>
    <row r="35" spans="1:15">
      <c r="A35" t="s">
        <v>15</v>
      </c>
      <c r="B35" t="s">
        <v>16</v>
      </c>
      <c r="C35" s="1">
        <v>46259</v>
      </c>
      <c r="D35" s="2">
        <v>4906</v>
      </c>
      <c r="E35" s="2">
        <v>4890.2</v>
      </c>
      <c r="F35" s="2">
        <v>4900</v>
      </c>
      <c r="G35" s="2">
        <v>4805</v>
      </c>
      <c r="H35" s="2">
        <v>4900</v>
      </c>
      <c r="I35" s="2">
        <v>4900</v>
      </c>
      <c r="J35" s="2">
        <v>4854.68</v>
      </c>
      <c r="K35" s="3">
        <v>565718</v>
      </c>
      <c r="L35" s="2">
        <v>2746378603.5999999</v>
      </c>
      <c r="M35" s="3">
        <v>43728</v>
      </c>
      <c r="N35" s="3">
        <v>171532</v>
      </c>
      <c r="O35">
        <v>30.32</v>
      </c>
    </row>
    <row r="36" spans="1:15">
      <c r="A36" t="s">
        <v>15</v>
      </c>
      <c r="B36" t="s">
        <v>16</v>
      </c>
      <c r="C36" s="1">
        <v>46258</v>
      </c>
      <c r="D36" s="2">
        <v>5000</v>
      </c>
      <c r="E36" s="2">
        <v>4990</v>
      </c>
      <c r="F36" s="2">
        <v>4990</v>
      </c>
      <c r="G36" s="2">
        <v>4858</v>
      </c>
      <c r="H36" s="2">
        <v>4906</v>
      </c>
      <c r="I36" s="2">
        <v>4906</v>
      </c>
      <c r="J36" s="2">
        <v>4905.3</v>
      </c>
      <c r="K36" s="3">
        <v>647190</v>
      </c>
      <c r="L36" s="2">
        <v>3174660173.3000002</v>
      </c>
      <c r="M36" s="3">
        <v>47842</v>
      </c>
      <c r="N36" s="3">
        <v>268294</v>
      </c>
      <c r="O36">
        <v>41.46</v>
      </c>
    </row>
    <row r="37" spans="1:15">
      <c r="A37" t="s">
        <v>15</v>
      </c>
      <c r="B37" t="s">
        <v>16</v>
      </c>
      <c r="C37" s="1">
        <v>46255</v>
      </c>
      <c r="D37" s="2">
        <v>4998</v>
      </c>
      <c r="E37" s="2">
        <v>4985.2</v>
      </c>
      <c r="F37" s="2">
        <v>5092</v>
      </c>
      <c r="G37" s="2">
        <v>4972</v>
      </c>
      <c r="H37" s="2">
        <v>5000</v>
      </c>
      <c r="I37" s="2">
        <v>5000</v>
      </c>
      <c r="J37" s="2">
        <v>5024.66</v>
      </c>
      <c r="K37" s="3">
        <v>733538</v>
      </c>
      <c r="L37" s="2">
        <v>3685775697.1999998</v>
      </c>
      <c r="M37" s="3">
        <v>47864</v>
      </c>
      <c r="N37" s="3">
        <v>286747</v>
      </c>
      <c r="O37">
        <v>39.090000000000003</v>
      </c>
    </row>
    <row r="38" spans="1:15">
      <c r="A38" t="s">
        <v>15</v>
      </c>
      <c r="B38" t="s">
        <v>16</v>
      </c>
      <c r="C38" s="1">
        <v>46254</v>
      </c>
      <c r="D38" s="2">
        <v>5017</v>
      </c>
      <c r="E38" s="2">
        <v>5049</v>
      </c>
      <c r="F38" s="2">
        <v>5049</v>
      </c>
      <c r="G38" s="2">
        <v>4972</v>
      </c>
      <c r="H38" s="2">
        <v>4998</v>
      </c>
      <c r="I38" s="2">
        <v>4998</v>
      </c>
      <c r="J38" s="2">
        <v>4998.8100000000004</v>
      </c>
      <c r="K38" s="3">
        <v>421506</v>
      </c>
      <c r="L38" s="2">
        <v>2107027153.8</v>
      </c>
      <c r="M38" s="3">
        <v>43025</v>
      </c>
      <c r="N38" s="3">
        <v>211648</v>
      </c>
      <c r="O38">
        <v>50.21</v>
      </c>
    </row>
    <row r="39" spans="1:15">
      <c r="A39" t="s">
        <v>15</v>
      </c>
      <c r="B39" t="s">
        <v>16</v>
      </c>
      <c r="C39" s="1">
        <v>46253</v>
      </c>
      <c r="D39" s="2">
        <v>5099</v>
      </c>
      <c r="E39" s="2">
        <v>5099</v>
      </c>
      <c r="F39" s="2">
        <v>5099.3</v>
      </c>
      <c r="G39" s="2">
        <v>5005</v>
      </c>
      <c r="H39" s="2">
        <v>5017</v>
      </c>
      <c r="I39" s="2">
        <v>5017</v>
      </c>
      <c r="J39" s="2">
        <v>5032.3</v>
      </c>
      <c r="K39" s="3">
        <v>983643</v>
      </c>
      <c r="L39" s="2">
        <v>4949984204.6999998</v>
      </c>
      <c r="M39" s="3">
        <v>107515</v>
      </c>
      <c r="N39" s="3">
        <v>635023</v>
      </c>
      <c r="O39">
        <v>64.56</v>
      </c>
    </row>
    <row r="40" spans="1:15">
      <c r="A40" t="s">
        <v>15</v>
      </c>
      <c r="B40" t="s">
        <v>16</v>
      </c>
      <c r="C40" s="1">
        <v>46252</v>
      </c>
      <c r="D40" s="2">
        <v>5059</v>
      </c>
      <c r="E40" s="2">
        <v>5067.3999999999996</v>
      </c>
      <c r="F40" s="2">
        <v>5120</v>
      </c>
      <c r="G40" s="2">
        <v>5039</v>
      </c>
      <c r="H40" s="2">
        <v>5099</v>
      </c>
      <c r="I40" s="2">
        <v>5099</v>
      </c>
      <c r="J40" s="2">
        <v>5094.63</v>
      </c>
      <c r="K40" s="3">
        <v>1238546</v>
      </c>
      <c r="L40" s="2">
        <v>6309933776.6999998</v>
      </c>
      <c r="M40" s="3">
        <v>87650</v>
      </c>
      <c r="N40" s="3">
        <v>611093</v>
      </c>
      <c r="O40">
        <v>49.34</v>
      </c>
    </row>
    <row r="41" spans="1:15">
      <c r="A41" t="s">
        <v>15</v>
      </c>
      <c r="B41" t="s">
        <v>16</v>
      </c>
      <c r="C41" s="1">
        <v>46251</v>
      </c>
      <c r="D41" s="2">
        <v>5029.8999999999996</v>
      </c>
      <c r="E41" s="2">
        <v>5050</v>
      </c>
      <c r="F41" s="2">
        <v>5149.8999999999996</v>
      </c>
      <c r="G41" s="2">
        <v>5045</v>
      </c>
      <c r="H41" s="2">
        <v>5059</v>
      </c>
      <c r="I41" s="2">
        <v>5059</v>
      </c>
      <c r="J41" s="2">
        <v>5094.49</v>
      </c>
      <c r="K41" s="3">
        <v>1719795</v>
      </c>
      <c r="L41" s="2">
        <v>8761476381.2000008</v>
      </c>
      <c r="M41" s="3">
        <v>105685</v>
      </c>
      <c r="N41" s="3">
        <v>750796</v>
      </c>
      <c r="O41">
        <v>43.66</v>
      </c>
    </row>
    <row r="42" spans="1:15">
      <c r="A42" t="s">
        <v>15</v>
      </c>
      <c r="B42" t="s">
        <v>16</v>
      </c>
      <c r="C42" s="1">
        <v>46248</v>
      </c>
      <c r="D42" s="2">
        <v>4945</v>
      </c>
      <c r="E42" s="2">
        <v>4940</v>
      </c>
      <c r="F42" s="2">
        <v>5047</v>
      </c>
      <c r="G42" s="2">
        <v>4924.2</v>
      </c>
      <c r="H42" s="2">
        <v>5029.8999999999996</v>
      </c>
      <c r="I42" s="2">
        <v>5029.8999999999996</v>
      </c>
      <c r="J42" s="2">
        <v>4989.33</v>
      </c>
      <c r="K42" s="3">
        <v>1537351</v>
      </c>
      <c r="L42" s="2">
        <v>7670347928.1999998</v>
      </c>
      <c r="M42" s="3">
        <v>73873</v>
      </c>
      <c r="N42" s="3">
        <v>953191</v>
      </c>
      <c r="O42">
        <v>62</v>
      </c>
    </row>
    <row r="43" spans="1:15">
      <c r="A43" t="s">
        <v>15</v>
      </c>
      <c r="B43" t="s">
        <v>16</v>
      </c>
      <c r="C43" s="1">
        <v>46247</v>
      </c>
      <c r="D43" s="2">
        <v>4995</v>
      </c>
      <c r="E43" s="2">
        <v>5019.5</v>
      </c>
      <c r="F43" s="2">
        <v>5048</v>
      </c>
      <c r="G43" s="2">
        <v>4915</v>
      </c>
      <c r="H43" s="2">
        <v>4945</v>
      </c>
      <c r="I43" s="2">
        <v>4945</v>
      </c>
      <c r="J43" s="2">
        <v>4971.87</v>
      </c>
      <c r="K43" s="3">
        <v>1595991</v>
      </c>
      <c r="L43" s="2">
        <v>7935052513.8999996</v>
      </c>
      <c r="M43" s="3">
        <v>108323</v>
      </c>
      <c r="N43" s="3">
        <v>515605</v>
      </c>
      <c r="O43">
        <v>32.31</v>
      </c>
    </row>
    <row r="44" spans="1:15">
      <c r="A44" t="s">
        <v>15</v>
      </c>
      <c r="B44" t="s">
        <v>16</v>
      </c>
      <c r="C44" s="1">
        <v>46246</v>
      </c>
      <c r="D44" s="2">
        <v>4909</v>
      </c>
      <c r="E44" s="2">
        <v>4909</v>
      </c>
      <c r="F44" s="2">
        <v>5055</v>
      </c>
      <c r="G44" s="2">
        <v>4803.3999999999996</v>
      </c>
      <c r="H44" s="2">
        <v>4995</v>
      </c>
      <c r="I44" s="2">
        <v>4995</v>
      </c>
      <c r="J44" s="2">
        <v>4959.84</v>
      </c>
      <c r="K44" s="3">
        <v>2901166</v>
      </c>
      <c r="L44" s="2">
        <v>14389305301.1</v>
      </c>
      <c r="M44" s="3">
        <v>160442</v>
      </c>
      <c r="N44" s="3">
        <v>959835</v>
      </c>
      <c r="O44">
        <v>33.08</v>
      </c>
    </row>
    <row r="45" spans="1:15">
      <c r="A45" t="s">
        <v>15</v>
      </c>
      <c r="B45" t="s">
        <v>16</v>
      </c>
      <c r="C45" s="1">
        <v>46245</v>
      </c>
      <c r="D45" s="2">
        <v>4928</v>
      </c>
      <c r="E45" s="2">
        <v>4930.1000000000004</v>
      </c>
      <c r="F45" s="2">
        <v>4963.8</v>
      </c>
      <c r="G45" s="2">
        <v>4855.6000000000004</v>
      </c>
      <c r="H45" s="2">
        <v>4909</v>
      </c>
      <c r="I45" s="2">
        <v>4909</v>
      </c>
      <c r="J45" s="2">
        <v>4894.66</v>
      </c>
      <c r="K45" s="3">
        <v>447081</v>
      </c>
      <c r="L45" s="2">
        <v>2188309642.8000002</v>
      </c>
      <c r="M45" s="3">
        <v>37628</v>
      </c>
      <c r="N45" s="3">
        <v>222748</v>
      </c>
      <c r="O45">
        <v>49.82</v>
      </c>
    </row>
    <row r="46" spans="1:15">
      <c r="A46" t="s">
        <v>15</v>
      </c>
      <c r="B46" t="s">
        <v>16</v>
      </c>
      <c r="C46" s="1">
        <v>46244</v>
      </c>
      <c r="D46" s="2">
        <v>4910</v>
      </c>
      <c r="E46" s="2">
        <v>4910</v>
      </c>
      <c r="F46" s="2">
        <v>4960</v>
      </c>
      <c r="G46" s="2">
        <v>4895.3999999999996</v>
      </c>
      <c r="H46" s="2">
        <v>4928</v>
      </c>
      <c r="I46" s="2">
        <v>4928</v>
      </c>
      <c r="J46" s="2">
        <v>4929.4399999999996</v>
      </c>
      <c r="K46" s="3">
        <v>589472</v>
      </c>
      <c r="L46" s="2">
        <v>2905765706</v>
      </c>
      <c r="M46" s="3">
        <v>44520</v>
      </c>
      <c r="N46" s="3">
        <v>261525</v>
      </c>
      <c r="O46">
        <v>44.37</v>
      </c>
    </row>
    <row r="47" spans="1:15">
      <c r="A47" t="s">
        <v>15</v>
      </c>
      <c r="B47" t="s">
        <v>16</v>
      </c>
      <c r="C47" s="1">
        <v>46241</v>
      </c>
      <c r="D47" s="2">
        <v>4920</v>
      </c>
      <c r="E47" s="2">
        <v>4925</v>
      </c>
      <c r="F47" s="2">
        <v>4975</v>
      </c>
      <c r="G47" s="2">
        <v>4876</v>
      </c>
      <c r="H47" s="2">
        <v>4910</v>
      </c>
      <c r="I47" s="2">
        <v>4910</v>
      </c>
      <c r="J47" s="2">
        <v>4916.54</v>
      </c>
      <c r="K47" s="3">
        <v>1083102</v>
      </c>
      <c r="L47" s="2">
        <v>5325116817.6999998</v>
      </c>
      <c r="M47" s="3">
        <v>67822</v>
      </c>
      <c r="N47" s="3">
        <v>453553</v>
      </c>
      <c r="O47">
        <v>41.88</v>
      </c>
    </row>
    <row r="48" spans="1:15">
      <c r="A48" t="s">
        <v>15</v>
      </c>
      <c r="B48" t="s">
        <v>16</v>
      </c>
      <c r="C48" s="1">
        <v>46240</v>
      </c>
      <c r="D48" s="2">
        <v>4645</v>
      </c>
      <c r="E48" s="2">
        <v>4695.3</v>
      </c>
      <c r="F48" s="2">
        <v>4950</v>
      </c>
      <c r="G48" s="2">
        <v>4685.3999999999996</v>
      </c>
      <c r="H48" s="2">
        <v>4920</v>
      </c>
      <c r="I48" s="2">
        <v>4920</v>
      </c>
      <c r="J48" s="2">
        <v>4881.25</v>
      </c>
      <c r="K48" s="3">
        <v>4796689</v>
      </c>
      <c r="L48" s="2">
        <v>23413846344.299999</v>
      </c>
      <c r="M48" s="3">
        <v>228817</v>
      </c>
      <c r="N48" s="3">
        <v>2200890</v>
      </c>
      <c r="O48">
        <v>45.88</v>
      </c>
    </row>
    <row r="49" spans="1:15">
      <c r="A49" t="s">
        <v>15</v>
      </c>
      <c r="B49" t="s">
        <v>16</v>
      </c>
      <c r="C49" s="1">
        <v>46239</v>
      </c>
      <c r="D49" s="2">
        <v>4635</v>
      </c>
      <c r="E49" s="2">
        <v>4641</v>
      </c>
      <c r="F49" s="2">
        <v>4673.3999999999996</v>
      </c>
      <c r="G49" s="2">
        <v>4603.3</v>
      </c>
      <c r="H49" s="2">
        <v>4645</v>
      </c>
      <c r="I49" s="2">
        <v>4645</v>
      </c>
      <c r="J49" s="2">
        <v>4632.99</v>
      </c>
      <c r="K49" s="3">
        <v>655940</v>
      </c>
      <c r="L49" s="2">
        <v>3038960935.4000001</v>
      </c>
      <c r="M49" s="3">
        <v>63392</v>
      </c>
      <c r="N49" s="3">
        <v>407079</v>
      </c>
      <c r="O49">
        <v>62.06</v>
      </c>
    </row>
    <row r="50" spans="1:15">
      <c r="A50" t="s">
        <v>15</v>
      </c>
      <c r="B50" t="s">
        <v>16</v>
      </c>
      <c r="C50" s="1">
        <v>46238</v>
      </c>
      <c r="D50" s="2">
        <v>4690</v>
      </c>
      <c r="E50" s="2">
        <v>4680</v>
      </c>
      <c r="F50" s="2">
        <v>4718</v>
      </c>
      <c r="G50" s="2">
        <v>4626</v>
      </c>
      <c r="H50" s="2">
        <v>4635</v>
      </c>
      <c r="I50" s="2">
        <v>4635</v>
      </c>
      <c r="J50" s="2">
        <v>4668.1499999999996</v>
      </c>
      <c r="K50" s="3">
        <v>686746</v>
      </c>
      <c r="L50" s="2">
        <v>3205836617.3000002</v>
      </c>
      <c r="M50" s="3">
        <v>40847</v>
      </c>
      <c r="N50" s="3">
        <v>328243</v>
      </c>
      <c r="O50">
        <v>47.8</v>
      </c>
    </row>
    <row r="51" spans="1:15">
      <c r="A51" t="s">
        <v>15</v>
      </c>
      <c r="B51" t="s">
        <v>16</v>
      </c>
      <c r="C51" s="1">
        <v>46237</v>
      </c>
      <c r="D51" s="2">
        <v>4646.5</v>
      </c>
      <c r="E51" s="2">
        <v>4660.3999999999996</v>
      </c>
      <c r="F51" s="2">
        <v>4699</v>
      </c>
      <c r="G51" s="2">
        <v>4647.5</v>
      </c>
      <c r="H51" s="2">
        <v>4690</v>
      </c>
      <c r="I51" s="2">
        <v>4690</v>
      </c>
      <c r="J51" s="2">
        <v>4672.67</v>
      </c>
      <c r="K51" s="3">
        <v>466729</v>
      </c>
      <c r="L51" s="2">
        <v>2180869526.8000002</v>
      </c>
      <c r="M51" s="3">
        <v>36570</v>
      </c>
      <c r="N51" s="3">
        <v>190643</v>
      </c>
      <c r="O51">
        <v>40.85</v>
      </c>
    </row>
    <row r="52" spans="1:15">
      <c r="A52" t="s">
        <v>15</v>
      </c>
      <c r="B52" t="s">
        <v>16</v>
      </c>
      <c r="C52" s="1">
        <v>46234</v>
      </c>
      <c r="D52" s="2">
        <v>4581.3999999999996</v>
      </c>
      <c r="E52" s="2">
        <v>4591.1000000000004</v>
      </c>
      <c r="F52" s="2">
        <v>4669</v>
      </c>
      <c r="G52" s="2">
        <v>4591.1000000000004</v>
      </c>
      <c r="H52" s="2">
        <v>4644</v>
      </c>
      <c r="I52" s="2">
        <v>4646.5</v>
      </c>
      <c r="J52" s="2">
        <v>4642.12</v>
      </c>
      <c r="K52" s="3">
        <v>747759</v>
      </c>
      <c r="L52" s="2">
        <v>3471187369.0999999</v>
      </c>
      <c r="M52" s="3">
        <v>42530</v>
      </c>
      <c r="N52" s="3">
        <v>344309</v>
      </c>
      <c r="O52">
        <v>46.05</v>
      </c>
    </row>
    <row r="53" spans="1:15">
      <c r="A53" t="s">
        <v>15</v>
      </c>
      <c r="B53" t="s">
        <v>16</v>
      </c>
      <c r="C53" s="1">
        <v>46233</v>
      </c>
      <c r="D53" s="2">
        <v>4592</v>
      </c>
      <c r="E53" s="2">
        <v>4580</v>
      </c>
      <c r="F53" s="2">
        <v>4597.5</v>
      </c>
      <c r="G53" s="2">
        <v>4538.2</v>
      </c>
      <c r="H53" s="2">
        <v>4590</v>
      </c>
      <c r="I53" s="2">
        <v>4581.3999999999996</v>
      </c>
      <c r="J53" s="2">
        <v>4561.66</v>
      </c>
      <c r="K53" s="3">
        <v>606007</v>
      </c>
      <c r="L53" s="2">
        <v>2764400043.5</v>
      </c>
      <c r="M53" s="3">
        <v>26881</v>
      </c>
      <c r="N53" s="3">
        <v>326406</v>
      </c>
      <c r="O53">
        <v>53.86</v>
      </c>
    </row>
    <row r="54" spans="1:15">
      <c r="A54" t="s">
        <v>15</v>
      </c>
      <c r="B54" t="s">
        <v>16</v>
      </c>
      <c r="C54" s="1">
        <v>46232</v>
      </c>
      <c r="D54" s="2">
        <v>4600.1000000000004</v>
      </c>
      <c r="E54" s="2">
        <v>4600.1000000000004</v>
      </c>
      <c r="F54" s="2">
        <v>4621</v>
      </c>
      <c r="G54" s="2">
        <v>4535</v>
      </c>
      <c r="H54" s="2">
        <v>4580</v>
      </c>
      <c r="I54" s="2">
        <v>4592</v>
      </c>
      <c r="J54" s="2">
        <v>4575.51</v>
      </c>
      <c r="K54" s="3">
        <v>495981</v>
      </c>
      <c r="L54" s="2">
        <v>2269368457.3000002</v>
      </c>
      <c r="M54" s="3">
        <v>41392</v>
      </c>
      <c r="N54" s="3">
        <v>199919</v>
      </c>
      <c r="O54">
        <v>40.31</v>
      </c>
    </row>
    <row r="55" spans="1:15">
      <c r="A55" t="s">
        <v>15</v>
      </c>
      <c r="B55" t="s">
        <v>16</v>
      </c>
      <c r="C55" s="1">
        <v>46231</v>
      </c>
      <c r="D55" s="2">
        <v>4619</v>
      </c>
      <c r="E55" s="2">
        <v>4618</v>
      </c>
      <c r="F55" s="2">
        <v>4625</v>
      </c>
      <c r="G55" s="2">
        <v>4500.1000000000004</v>
      </c>
      <c r="H55" s="2">
        <v>4595</v>
      </c>
      <c r="I55" s="2">
        <v>4600.1000000000004</v>
      </c>
      <c r="J55" s="2">
        <v>4573.9399999999996</v>
      </c>
      <c r="K55" s="3">
        <v>684639</v>
      </c>
      <c r="L55" s="2">
        <v>3131494447.5</v>
      </c>
      <c r="M55" s="3">
        <v>48618</v>
      </c>
      <c r="N55" s="3">
        <v>237534</v>
      </c>
      <c r="O55">
        <v>34.69</v>
      </c>
    </row>
    <row r="56" spans="1:15">
      <c r="A56" t="s">
        <v>15</v>
      </c>
      <c r="B56" t="s">
        <v>16</v>
      </c>
      <c r="C56" s="1">
        <v>46230</v>
      </c>
      <c r="D56" s="2">
        <v>4573.3999999999996</v>
      </c>
      <c r="E56" s="2">
        <v>4582</v>
      </c>
      <c r="F56" s="2">
        <v>4644.8</v>
      </c>
      <c r="G56" s="2">
        <v>4577</v>
      </c>
      <c r="H56" s="2">
        <v>4618</v>
      </c>
      <c r="I56" s="2">
        <v>4619</v>
      </c>
      <c r="J56" s="2">
        <v>4618.8</v>
      </c>
      <c r="K56" s="3">
        <v>694103</v>
      </c>
      <c r="L56" s="2">
        <v>3205919819.5</v>
      </c>
      <c r="M56" s="3">
        <v>50205</v>
      </c>
      <c r="N56" s="3">
        <v>312535</v>
      </c>
      <c r="O56">
        <v>45.03</v>
      </c>
    </row>
    <row r="57" spans="1:15">
      <c r="A57" t="s">
        <v>15</v>
      </c>
      <c r="B57" t="s">
        <v>16</v>
      </c>
      <c r="C57" s="1">
        <v>46227</v>
      </c>
      <c r="D57" s="2">
        <v>4592.5</v>
      </c>
      <c r="E57" s="2">
        <v>4550.1000000000004</v>
      </c>
      <c r="F57" s="2">
        <v>4598.7</v>
      </c>
      <c r="G57" s="2">
        <v>4519</v>
      </c>
      <c r="H57" s="2">
        <v>4572</v>
      </c>
      <c r="I57" s="2">
        <v>4573.3999999999996</v>
      </c>
      <c r="J57" s="2">
        <v>4563.57</v>
      </c>
      <c r="K57" s="3">
        <v>467141</v>
      </c>
      <c r="L57" s="2">
        <v>2131832470.8</v>
      </c>
      <c r="M57" s="3">
        <v>36674</v>
      </c>
      <c r="N57" s="3">
        <v>213266</v>
      </c>
      <c r="O57">
        <v>45.65</v>
      </c>
    </row>
    <row r="58" spans="1:15">
      <c r="A58" t="s">
        <v>15</v>
      </c>
      <c r="B58" t="s">
        <v>16</v>
      </c>
      <c r="C58" s="1">
        <v>46226</v>
      </c>
      <c r="D58" s="2">
        <v>4574.8</v>
      </c>
      <c r="E58" s="2">
        <v>4570.7</v>
      </c>
      <c r="F58" s="2">
        <v>4600</v>
      </c>
      <c r="G58" s="2">
        <v>4545</v>
      </c>
      <c r="H58" s="2">
        <v>4588</v>
      </c>
      <c r="I58" s="2">
        <v>4592.5</v>
      </c>
      <c r="J58" s="2">
        <v>4576.3900000000003</v>
      </c>
      <c r="K58" s="3">
        <v>648588</v>
      </c>
      <c r="L58" s="2">
        <v>2968192458.9000001</v>
      </c>
      <c r="M58" s="3">
        <v>49836</v>
      </c>
      <c r="N58" s="3">
        <v>332820</v>
      </c>
      <c r="O58">
        <v>51.31</v>
      </c>
    </row>
    <row r="59" spans="1:15">
      <c r="A59" t="s">
        <v>15</v>
      </c>
      <c r="B59" t="s">
        <v>16</v>
      </c>
      <c r="C59" s="1">
        <v>46225</v>
      </c>
      <c r="D59" s="2">
        <v>4581.7</v>
      </c>
      <c r="E59" s="2">
        <v>4585</v>
      </c>
      <c r="F59" s="2">
        <v>4627</v>
      </c>
      <c r="G59" s="2">
        <v>4548</v>
      </c>
      <c r="H59" s="2">
        <v>4567.8999999999996</v>
      </c>
      <c r="I59" s="2">
        <v>4574.8</v>
      </c>
      <c r="J59" s="2">
        <v>4588.6000000000004</v>
      </c>
      <c r="K59" s="3">
        <v>976586</v>
      </c>
      <c r="L59" s="2">
        <v>4481165045.1999998</v>
      </c>
      <c r="M59" s="3">
        <v>57168</v>
      </c>
      <c r="N59" s="3">
        <v>405003</v>
      </c>
      <c r="O59">
        <v>41.47</v>
      </c>
    </row>
    <row r="60" spans="1:15">
      <c r="A60" t="s">
        <v>15</v>
      </c>
      <c r="B60" t="s">
        <v>16</v>
      </c>
      <c r="C60" s="1">
        <v>46224</v>
      </c>
      <c r="D60" s="2">
        <v>4491</v>
      </c>
      <c r="E60" s="2">
        <v>4485</v>
      </c>
      <c r="F60" s="2">
        <v>4594</v>
      </c>
      <c r="G60" s="2">
        <v>4461.3999999999996</v>
      </c>
      <c r="H60" s="2">
        <v>4585</v>
      </c>
      <c r="I60" s="2">
        <v>4581.7</v>
      </c>
      <c r="J60" s="2">
        <v>4541.22</v>
      </c>
      <c r="K60" s="3">
        <v>697566</v>
      </c>
      <c r="L60" s="2">
        <v>3167801705.0999999</v>
      </c>
      <c r="M60" s="3">
        <v>51678</v>
      </c>
      <c r="N60" s="3">
        <v>312858</v>
      </c>
      <c r="O60">
        <v>44.85</v>
      </c>
    </row>
    <row r="61" spans="1:15">
      <c r="A61" t="s">
        <v>15</v>
      </c>
      <c r="B61" t="s">
        <v>16</v>
      </c>
      <c r="C61" s="1">
        <v>46223</v>
      </c>
      <c r="D61" s="2">
        <v>4500.7</v>
      </c>
      <c r="E61" s="2">
        <v>4500</v>
      </c>
      <c r="F61" s="2">
        <v>4515</v>
      </c>
      <c r="G61" s="2">
        <v>4461</v>
      </c>
      <c r="H61" s="2">
        <v>4489</v>
      </c>
      <c r="I61" s="2">
        <v>4491</v>
      </c>
      <c r="J61" s="2">
        <v>4487.6000000000004</v>
      </c>
      <c r="K61" s="3">
        <v>344703</v>
      </c>
      <c r="L61" s="2">
        <v>1546888585.5</v>
      </c>
      <c r="M61" s="3">
        <v>28380</v>
      </c>
      <c r="N61" s="3">
        <v>144890</v>
      </c>
      <c r="O61">
        <v>42.03</v>
      </c>
    </row>
    <row r="62" spans="1:15">
      <c r="A62" t="s">
        <v>15</v>
      </c>
      <c r="B62" t="s">
        <v>16</v>
      </c>
      <c r="C62" s="1">
        <v>46220</v>
      </c>
      <c r="D62" s="2">
        <v>4433.8</v>
      </c>
      <c r="E62" s="2">
        <v>4435.8999999999996</v>
      </c>
      <c r="F62" s="2">
        <v>4509.3999999999996</v>
      </c>
      <c r="G62" s="2">
        <v>4426.8</v>
      </c>
      <c r="H62" s="2">
        <v>4501</v>
      </c>
      <c r="I62" s="2">
        <v>4500.7</v>
      </c>
      <c r="J62" s="2">
        <v>4486.17</v>
      </c>
      <c r="K62" s="3">
        <v>658032</v>
      </c>
      <c r="L62" s="2">
        <v>2952040129.6999998</v>
      </c>
      <c r="M62" s="3">
        <v>49109</v>
      </c>
      <c r="N62" s="3">
        <v>281541</v>
      </c>
      <c r="O62">
        <v>42.79</v>
      </c>
    </row>
    <row r="63" spans="1:15">
      <c r="A63" t="s">
        <v>15</v>
      </c>
      <c r="B63" t="s">
        <v>16</v>
      </c>
      <c r="C63" s="1">
        <v>46219</v>
      </c>
      <c r="D63" s="2">
        <v>4420.5</v>
      </c>
      <c r="E63" s="2">
        <v>4420.5</v>
      </c>
      <c r="F63" s="2">
        <v>4460</v>
      </c>
      <c r="G63" s="2">
        <v>4394</v>
      </c>
      <c r="H63" s="2">
        <v>4450</v>
      </c>
      <c r="I63" s="2">
        <v>4433.8</v>
      </c>
      <c r="J63" s="2">
        <v>4434.26</v>
      </c>
      <c r="K63" s="3">
        <v>474213</v>
      </c>
      <c r="L63" s="2">
        <v>2102781845.9000001</v>
      </c>
      <c r="M63" s="3">
        <v>46379</v>
      </c>
      <c r="N63" s="3">
        <v>216237</v>
      </c>
      <c r="O63">
        <v>45.6</v>
      </c>
    </row>
    <row r="64" spans="1:15">
      <c r="A64" t="s">
        <v>15</v>
      </c>
      <c r="B64" t="s">
        <v>16</v>
      </c>
      <c r="C64" s="1">
        <v>46218</v>
      </c>
      <c r="D64" s="2">
        <v>4442.3999999999996</v>
      </c>
      <c r="E64" s="2">
        <v>4444.3999999999996</v>
      </c>
      <c r="F64" s="2">
        <v>4486.6000000000004</v>
      </c>
      <c r="G64" s="2">
        <v>4414.6000000000004</v>
      </c>
      <c r="H64" s="2">
        <v>4420</v>
      </c>
      <c r="I64" s="2">
        <v>4420.5</v>
      </c>
      <c r="J64" s="2">
        <v>4439.32</v>
      </c>
      <c r="K64" s="3">
        <v>440343</v>
      </c>
      <c r="L64" s="2">
        <v>1954824388</v>
      </c>
      <c r="M64" s="3">
        <v>37054</v>
      </c>
      <c r="N64" s="3">
        <v>206161</v>
      </c>
      <c r="O64">
        <v>46.82</v>
      </c>
    </row>
    <row r="65" spans="1:15">
      <c r="A65" t="s">
        <v>15</v>
      </c>
      <c r="B65" t="s">
        <v>16</v>
      </c>
      <c r="C65" s="1">
        <v>46217</v>
      </c>
      <c r="D65" s="2">
        <v>4511.3</v>
      </c>
      <c r="E65" s="2">
        <v>4510.1000000000004</v>
      </c>
      <c r="F65" s="2">
        <v>4510.1000000000004</v>
      </c>
      <c r="G65" s="2">
        <v>4392</v>
      </c>
      <c r="H65" s="2">
        <v>4429.7</v>
      </c>
      <c r="I65" s="2">
        <v>4442.3999999999996</v>
      </c>
      <c r="J65" s="2">
        <v>4433.3599999999997</v>
      </c>
      <c r="K65" s="3">
        <v>770894</v>
      </c>
      <c r="L65" s="2">
        <v>3417651314.5</v>
      </c>
      <c r="M65" s="3">
        <v>46890</v>
      </c>
      <c r="N65" s="3">
        <v>358990</v>
      </c>
      <c r="O65">
        <v>46.57</v>
      </c>
    </row>
    <row r="66" spans="1:15">
      <c r="A66" t="s">
        <v>15</v>
      </c>
      <c r="B66" t="s">
        <v>16</v>
      </c>
      <c r="C66" s="1">
        <v>46216</v>
      </c>
      <c r="D66" s="2">
        <v>4506.8</v>
      </c>
      <c r="E66" s="2">
        <v>4498.7</v>
      </c>
      <c r="F66" s="2">
        <v>4521.7</v>
      </c>
      <c r="G66" s="2">
        <v>4438</v>
      </c>
      <c r="H66" s="2">
        <v>4508.1000000000004</v>
      </c>
      <c r="I66" s="2">
        <v>4511.3</v>
      </c>
      <c r="J66" s="2">
        <v>4489.47</v>
      </c>
      <c r="K66" s="3">
        <v>569353</v>
      </c>
      <c r="L66" s="2">
        <v>2556094289.8000002</v>
      </c>
      <c r="M66" s="3">
        <v>47223</v>
      </c>
      <c r="N66" s="3">
        <v>259986</v>
      </c>
      <c r="O66">
        <v>45.66</v>
      </c>
    </row>
    <row r="67" spans="1:15">
      <c r="A67" t="s">
        <v>15</v>
      </c>
      <c r="B67" t="s">
        <v>16</v>
      </c>
      <c r="C67" s="1">
        <v>46213</v>
      </c>
      <c r="D67" s="2">
        <v>4378.8999999999996</v>
      </c>
      <c r="E67" s="2">
        <v>4396</v>
      </c>
      <c r="F67" s="2">
        <v>4524.8999999999996</v>
      </c>
      <c r="G67" s="2">
        <v>4396</v>
      </c>
      <c r="H67" s="2">
        <v>4512.8999999999996</v>
      </c>
      <c r="I67" s="2">
        <v>4506.8</v>
      </c>
      <c r="J67" s="2">
        <v>4491.5600000000004</v>
      </c>
      <c r="K67" s="3">
        <v>1078390</v>
      </c>
      <c r="L67" s="2">
        <v>4843655791.5</v>
      </c>
      <c r="M67" s="3">
        <v>64333</v>
      </c>
      <c r="N67" s="3">
        <v>527488</v>
      </c>
      <c r="O67">
        <v>48.91</v>
      </c>
    </row>
    <row r="68" spans="1:15">
      <c r="A68" t="s">
        <v>15</v>
      </c>
      <c r="B68" t="s">
        <v>16</v>
      </c>
      <c r="C68" s="1">
        <v>46212</v>
      </c>
      <c r="D68" s="2">
        <v>4364.7</v>
      </c>
      <c r="E68" s="2">
        <v>4350</v>
      </c>
      <c r="F68" s="2">
        <v>4397.5</v>
      </c>
      <c r="G68" s="2">
        <v>4331</v>
      </c>
      <c r="H68" s="2">
        <v>4394</v>
      </c>
      <c r="I68" s="2">
        <v>4378.8999999999996</v>
      </c>
      <c r="J68" s="2">
        <v>4368.2299999999996</v>
      </c>
      <c r="K68" s="3">
        <v>584196</v>
      </c>
      <c r="L68" s="2">
        <v>2551901351</v>
      </c>
      <c r="M68" s="3">
        <v>40374</v>
      </c>
      <c r="N68" s="3">
        <v>293736</v>
      </c>
      <c r="O68">
        <v>50.28</v>
      </c>
    </row>
    <row r="69" spans="1:15">
      <c r="A69" t="s">
        <v>15</v>
      </c>
      <c r="B69" t="s">
        <v>16</v>
      </c>
      <c r="C69" s="1">
        <v>46211</v>
      </c>
      <c r="D69" s="2">
        <v>4400.3</v>
      </c>
      <c r="E69" s="2">
        <v>4382.6000000000004</v>
      </c>
      <c r="F69" s="2">
        <v>4433.7</v>
      </c>
      <c r="G69" s="2">
        <v>4305.8</v>
      </c>
      <c r="H69" s="2">
        <v>4328.8</v>
      </c>
      <c r="I69" s="2">
        <v>4364.7</v>
      </c>
      <c r="J69" s="2">
        <v>4370.28</v>
      </c>
      <c r="K69" s="3">
        <v>1050626</v>
      </c>
      <c r="L69" s="2">
        <v>4591533986.8000002</v>
      </c>
      <c r="M69" s="3">
        <v>63817</v>
      </c>
      <c r="N69" s="3">
        <v>571520</v>
      </c>
      <c r="O69">
        <v>54.4</v>
      </c>
    </row>
    <row r="70" spans="1:15">
      <c r="A70" t="s">
        <v>15</v>
      </c>
      <c r="B70" t="s">
        <v>16</v>
      </c>
      <c r="C70" s="1">
        <v>46210</v>
      </c>
      <c r="D70" s="2">
        <v>4440.6000000000004</v>
      </c>
      <c r="E70" s="2">
        <v>4440</v>
      </c>
      <c r="F70" s="2">
        <v>4441.3999999999996</v>
      </c>
      <c r="G70" s="2">
        <v>4375.1000000000004</v>
      </c>
      <c r="H70" s="2">
        <v>4401</v>
      </c>
      <c r="I70" s="2">
        <v>4400.3</v>
      </c>
      <c r="J70" s="2">
        <v>4401.92</v>
      </c>
      <c r="K70" s="3">
        <v>457694</v>
      </c>
      <c r="L70" s="2">
        <v>2014734324.0999999</v>
      </c>
      <c r="M70" s="3">
        <v>39048</v>
      </c>
      <c r="N70" s="3">
        <v>215098</v>
      </c>
      <c r="O70">
        <v>47</v>
      </c>
    </row>
    <row r="71" spans="1:15">
      <c r="A71" t="s">
        <v>15</v>
      </c>
      <c r="B71" t="s">
        <v>16</v>
      </c>
      <c r="C71" s="1">
        <v>46209</v>
      </c>
      <c r="D71" s="2">
        <v>4428.8999999999996</v>
      </c>
      <c r="E71" s="2">
        <v>4432</v>
      </c>
      <c r="F71" s="2">
        <v>4498.2</v>
      </c>
      <c r="G71" s="2">
        <v>4427.8999999999996</v>
      </c>
      <c r="H71" s="2">
        <v>4442</v>
      </c>
      <c r="I71" s="2">
        <v>4440.6000000000004</v>
      </c>
      <c r="J71" s="2">
        <v>4459.49</v>
      </c>
      <c r="K71" s="3">
        <v>445462</v>
      </c>
      <c r="L71" s="2">
        <v>1986533635.0999999</v>
      </c>
      <c r="M71" s="3">
        <v>37023</v>
      </c>
      <c r="N71" s="3">
        <v>188721</v>
      </c>
      <c r="O71">
        <v>42.37</v>
      </c>
    </row>
    <row r="72" spans="1:15">
      <c r="A72" t="s">
        <v>15</v>
      </c>
      <c r="B72" t="s">
        <v>16</v>
      </c>
      <c r="C72" s="1">
        <v>46206</v>
      </c>
      <c r="D72" s="2">
        <v>4434</v>
      </c>
      <c r="E72" s="2">
        <v>4456.2</v>
      </c>
      <c r="F72" s="2">
        <v>4502.3999999999996</v>
      </c>
      <c r="G72" s="2">
        <v>4421.3</v>
      </c>
      <c r="H72" s="2">
        <v>4427</v>
      </c>
      <c r="I72" s="2">
        <v>4428.8999999999996</v>
      </c>
      <c r="J72" s="2">
        <v>4465.95</v>
      </c>
      <c r="K72" s="3">
        <v>583667</v>
      </c>
      <c r="L72" s="2">
        <v>2606627068.9000001</v>
      </c>
      <c r="M72" s="3">
        <v>43302</v>
      </c>
      <c r="N72" s="3">
        <v>243901</v>
      </c>
      <c r="O72">
        <v>41.79</v>
      </c>
    </row>
    <row r="73" spans="1:15">
      <c r="A73" t="s">
        <v>15</v>
      </c>
      <c r="B73" t="s">
        <v>16</v>
      </c>
      <c r="C73" s="1">
        <v>46205</v>
      </c>
      <c r="D73" s="2">
        <v>4434.3999999999996</v>
      </c>
      <c r="E73" s="2">
        <v>4431</v>
      </c>
      <c r="F73" s="2">
        <v>4459.6000000000004</v>
      </c>
      <c r="G73" s="2">
        <v>4410.8999999999996</v>
      </c>
      <c r="H73" s="2">
        <v>4425.1000000000004</v>
      </c>
      <c r="I73" s="2">
        <v>4434</v>
      </c>
      <c r="J73" s="2">
        <v>4431.9799999999996</v>
      </c>
      <c r="K73" s="3">
        <v>282618</v>
      </c>
      <c r="L73" s="2">
        <v>1252557073.2</v>
      </c>
      <c r="M73" s="3">
        <v>35455</v>
      </c>
      <c r="N73" s="3">
        <v>123797</v>
      </c>
      <c r="O73">
        <v>43.8</v>
      </c>
    </row>
    <row r="74" spans="1:15">
      <c r="A74" t="s">
        <v>15</v>
      </c>
      <c r="B74" t="s">
        <v>16</v>
      </c>
      <c r="C74" s="1">
        <v>46204</v>
      </c>
      <c r="D74" s="2">
        <v>4381.2</v>
      </c>
      <c r="E74" s="2">
        <v>4387.8999999999996</v>
      </c>
      <c r="F74" s="2">
        <v>4464</v>
      </c>
      <c r="G74" s="2">
        <v>4382</v>
      </c>
      <c r="H74" s="2">
        <v>4426.6000000000004</v>
      </c>
      <c r="I74" s="2">
        <v>4434.3999999999996</v>
      </c>
      <c r="J74" s="2">
        <v>4429.2700000000004</v>
      </c>
      <c r="K74" s="3">
        <v>469658</v>
      </c>
      <c r="L74" s="2">
        <v>2080242112.3</v>
      </c>
      <c r="M74" s="3">
        <v>42037</v>
      </c>
      <c r="N74" s="3">
        <v>172404</v>
      </c>
      <c r="O74">
        <v>36.71</v>
      </c>
    </row>
    <row r="75" spans="1:15">
      <c r="A75" t="s">
        <v>15</v>
      </c>
      <c r="B75" t="s">
        <v>16</v>
      </c>
      <c r="C75" s="1">
        <v>46203</v>
      </c>
      <c r="D75" s="2">
        <v>4342.8</v>
      </c>
      <c r="E75" s="2">
        <v>4356.3</v>
      </c>
      <c r="F75" s="2">
        <v>4423.5</v>
      </c>
      <c r="G75" s="2">
        <v>4326.1000000000004</v>
      </c>
      <c r="H75" s="2">
        <v>4377.7</v>
      </c>
      <c r="I75" s="2">
        <v>4381.2</v>
      </c>
      <c r="J75" s="2">
        <v>4387.5200000000004</v>
      </c>
      <c r="K75" s="3">
        <v>803535</v>
      </c>
      <c r="L75" s="2">
        <v>3525524860.4000001</v>
      </c>
      <c r="M75" s="3">
        <v>60407</v>
      </c>
      <c r="N75" s="3">
        <v>390748</v>
      </c>
      <c r="O75">
        <v>48.63</v>
      </c>
    </row>
    <row r="76" spans="1:15">
      <c r="A76" t="s">
        <v>15</v>
      </c>
      <c r="B76" t="s">
        <v>16</v>
      </c>
      <c r="C76" s="1">
        <v>46202</v>
      </c>
      <c r="D76" s="2">
        <v>4368.7</v>
      </c>
      <c r="E76" s="2">
        <v>4368</v>
      </c>
      <c r="F76" s="2">
        <v>4378.2</v>
      </c>
      <c r="G76" s="2">
        <v>4269.8999999999996</v>
      </c>
      <c r="H76" s="2">
        <v>4351</v>
      </c>
      <c r="I76" s="2">
        <v>4342.8</v>
      </c>
      <c r="J76" s="2">
        <v>4322.4799999999996</v>
      </c>
      <c r="K76" s="3">
        <v>901086</v>
      </c>
      <c r="L76" s="2">
        <v>3894929608</v>
      </c>
      <c r="M76" s="3">
        <v>61734</v>
      </c>
      <c r="N76" s="3">
        <v>443138</v>
      </c>
      <c r="O76">
        <v>49.18</v>
      </c>
    </row>
    <row r="77" spans="1:15">
      <c r="A77" t="s">
        <v>15</v>
      </c>
      <c r="B77" t="s">
        <v>16</v>
      </c>
      <c r="C77" s="1">
        <v>46198</v>
      </c>
      <c r="D77" s="2">
        <v>4368.8999999999996</v>
      </c>
      <c r="E77" s="2">
        <v>4384.8999999999996</v>
      </c>
      <c r="F77" s="2">
        <v>4409.8999999999996</v>
      </c>
      <c r="G77" s="2">
        <v>4351.2</v>
      </c>
      <c r="H77" s="2">
        <v>4364</v>
      </c>
      <c r="I77" s="2">
        <v>4368.7</v>
      </c>
      <c r="J77" s="2">
        <v>4377.74</v>
      </c>
      <c r="K77" s="3">
        <v>731421</v>
      </c>
      <c r="L77" s="2">
        <v>3201967952.4000001</v>
      </c>
      <c r="M77" s="3">
        <v>44515</v>
      </c>
      <c r="N77" s="3">
        <v>342303</v>
      </c>
      <c r="O77">
        <v>46.8</v>
      </c>
    </row>
    <row r="78" spans="1:15">
      <c r="A78" t="s">
        <v>15</v>
      </c>
      <c r="B78" t="s">
        <v>16</v>
      </c>
      <c r="C78" s="1">
        <v>46197</v>
      </c>
      <c r="D78" s="2">
        <v>4500.2</v>
      </c>
      <c r="E78" s="2">
        <v>4490.1000000000004</v>
      </c>
      <c r="F78" s="2">
        <v>4505.6000000000004</v>
      </c>
      <c r="G78" s="2">
        <v>4309.1000000000004</v>
      </c>
      <c r="H78" s="2">
        <v>4366</v>
      </c>
      <c r="I78" s="2">
        <v>4368.8999999999996</v>
      </c>
      <c r="J78" s="2">
        <v>4401.91</v>
      </c>
      <c r="K78" s="3">
        <v>975559</v>
      </c>
      <c r="L78" s="2">
        <v>4294326579.5</v>
      </c>
      <c r="M78" s="3">
        <v>74795</v>
      </c>
      <c r="N78" s="3">
        <v>320802</v>
      </c>
      <c r="O78">
        <v>32.880000000000003</v>
      </c>
    </row>
    <row r="79" spans="1:15">
      <c r="A79" t="s">
        <v>15</v>
      </c>
      <c r="B79" t="s">
        <v>16</v>
      </c>
      <c r="C79" s="1">
        <v>46196</v>
      </c>
      <c r="D79" s="2">
        <v>4515.2</v>
      </c>
      <c r="E79" s="2">
        <v>4533.8999999999996</v>
      </c>
      <c r="F79" s="2">
        <v>4535</v>
      </c>
      <c r="G79" s="2">
        <v>4446.7</v>
      </c>
      <c r="H79" s="2">
        <v>4505</v>
      </c>
      <c r="I79" s="2">
        <v>4500.2</v>
      </c>
      <c r="J79" s="2">
        <v>4498.24</v>
      </c>
      <c r="K79" s="3">
        <v>1411631</v>
      </c>
      <c r="L79" s="2">
        <v>6349860818.8999996</v>
      </c>
      <c r="M79" s="3">
        <v>65609</v>
      </c>
      <c r="N79" s="3">
        <v>786638</v>
      </c>
      <c r="O79">
        <v>55.73</v>
      </c>
    </row>
    <row r="80" spans="1:15">
      <c r="A80" t="s">
        <v>15</v>
      </c>
      <c r="B80" t="s">
        <v>16</v>
      </c>
      <c r="C80" s="1">
        <v>46195</v>
      </c>
      <c r="D80" s="2">
        <v>4408.1000000000004</v>
      </c>
      <c r="E80" s="2">
        <v>4424.1000000000004</v>
      </c>
      <c r="F80" s="2">
        <v>4528.5</v>
      </c>
      <c r="G80" s="2">
        <v>4386</v>
      </c>
      <c r="H80" s="2">
        <v>4515.5</v>
      </c>
      <c r="I80" s="2">
        <v>4515.2</v>
      </c>
      <c r="J80" s="2">
        <v>4474.34</v>
      </c>
      <c r="K80" s="3">
        <v>1337548</v>
      </c>
      <c r="L80" s="2">
        <v>5984648832</v>
      </c>
      <c r="M80" s="3">
        <v>67349</v>
      </c>
      <c r="N80" s="3">
        <v>716344</v>
      </c>
      <c r="O80">
        <v>53.56</v>
      </c>
    </row>
    <row r="81" spans="1:15">
      <c r="A81" t="s">
        <v>15</v>
      </c>
      <c r="B81" t="s">
        <v>16</v>
      </c>
      <c r="C81" s="1">
        <v>46192</v>
      </c>
      <c r="D81" s="2">
        <v>4411.5</v>
      </c>
      <c r="E81" s="2">
        <v>4411.5</v>
      </c>
      <c r="F81" s="2">
        <v>4435.6000000000004</v>
      </c>
      <c r="G81" s="2">
        <v>4385.7</v>
      </c>
      <c r="H81" s="2">
        <v>4397</v>
      </c>
      <c r="I81" s="2">
        <v>4408.1000000000004</v>
      </c>
      <c r="J81" s="2">
        <v>4408.46</v>
      </c>
      <c r="K81" s="3">
        <v>834712</v>
      </c>
      <c r="L81" s="2">
        <v>3679797593.5999999</v>
      </c>
      <c r="M81" s="3">
        <v>43230</v>
      </c>
      <c r="N81" s="3">
        <v>412071</v>
      </c>
      <c r="O81">
        <v>49.37</v>
      </c>
    </row>
    <row r="82" spans="1:15">
      <c r="A82" t="s">
        <v>15</v>
      </c>
      <c r="B82" t="s">
        <v>16</v>
      </c>
      <c r="C82" s="1">
        <v>46191</v>
      </c>
      <c r="D82" s="2">
        <v>4460.5</v>
      </c>
      <c r="E82" s="2">
        <v>4476</v>
      </c>
      <c r="F82" s="2">
        <v>4480.5</v>
      </c>
      <c r="G82" s="2">
        <v>4386.5</v>
      </c>
      <c r="H82" s="2">
        <v>4420</v>
      </c>
      <c r="I82" s="2">
        <v>4411.5</v>
      </c>
      <c r="J82" s="2">
        <v>4426.76</v>
      </c>
      <c r="K82" s="3">
        <v>851920</v>
      </c>
      <c r="L82" s="2">
        <v>3771241264</v>
      </c>
      <c r="M82" s="3">
        <v>62601</v>
      </c>
      <c r="N82" s="3">
        <v>377251</v>
      </c>
      <c r="O82">
        <v>44.28</v>
      </c>
    </row>
    <row r="83" spans="1:15">
      <c r="A83" t="s">
        <v>15</v>
      </c>
      <c r="B83" t="s">
        <v>16</v>
      </c>
      <c r="C83" s="1">
        <v>46190</v>
      </c>
      <c r="D83" s="2">
        <v>4255.8</v>
      </c>
      <c r="E83" s="2">
        <v>4276.5</v>
      </c>
      <c r="F83" s="2">
        <v>4485</v>
      </c>
      <c r="G83" s="2">
        <v>4270</v>
      </c>
      <c r="H83" s="2">
        <v>4484</v>
      </c>
      <c r="I83" s="2">
        <v>4460.5</v>
      </c>
      <c r="J83" s="2">
        <v>4387.1400000000003</v>
      </c>
      <c r="K83" s="3">
        <v>1421845</v>
      </c>
      <c r="L83" s="2">
        <v>6237831862.1000004</v>
      </c>
      <c r="M83" s="3">
        <v>92316</v>
      </c>
      <c r="N83" s="3">
        <v>520128</v>
      </c>
      <c r="O83">
        <v>36.58</v>
      </c>
    </row>
    <row r="84" spans="1:15">
      <c r="A84" t="s">
        <v>15</v>
      </c>
      <c r="B84" t="s">
        <v>16</v>
      </c>
      <c r="C84" s="1">
        <v>46189</v>
      </c>
      <c r="D84" s="2">
        <v>4284.7</v>
      </c>
      <c r="E84" s="2">
        <v>4299.8</v>
      </c>
      <c r="F84" s="2">
        <v>4314.7</v>
      </c>
      <c r="G84" s="2">
        <v>4240.5</v>
      </c>
      <c r="H84" s="2">
        <v>4260</v>
      </c>
      <c r="I84" s="2">
        <v>4255.8</v>
      </c>
      <c r="J84" s="2">
        <v>4264.7700000000004</v>
      </c>
      <c r="K84" s="3">
        <v>584663</v>
      </c>
      <c r="L84" s="2">
        <v>2493455586.3000002</v>
      </c>
      <c r="M84" s="3">
        <v>37253</v>
      </c>
      <c r="N84" s="3">
        <v>286124</v>
      </c>
      <c r="O84">
        <v>48.94</v>
      </c>
    </row>
    <row r="85" spans="1:15">
      <c r="A85" t="s">
        <v>15</v>
      </c>
      <c r="B85" t="s">
        <v>16</v>
      </c>
      <c r="C85" s="1">
        <v>46188</v>
      </c>
      <c r="D85" s="2">
        <v>4192.3</v>
      </c>
      <c r="E85" s="2">
        <v>4235</v>
      </c>
      <c r="F85" s="2">
        <v>4344</v>
      </c>
      <c r="G85" s="2">
        <v>4202.6000000000004</v>
      </c>
      <c r="H85" s="2">
        <v>4290</v>
      </c>
      <c r="I85" s="2">
        <v>4284.7</v>
      </c>
      <c r="J85" s="2">
        <v>4271.3500000000004</v>
      </c>
      <c r="K85" s="3">
        <v>1049980</v>
      </c>
      <c r="L85" s="2">
        <v>4484831323.6999998</v>
      </c>
      <c r="M85" s="3">
        <v>75986</v>
      </c>
      <c r="N85" s="3">
        <v>493820</v>
      </c>
      <c r="O85">
        <v>47.03</v>
      </c>
    </row>
    <row r="86" spans="1:15">
      <c r="A86" t="s">
        <v>15</v>
      </c>
      <c r="B86" t="s">
        <v>16</v>
      </c>
      <c r="C86" s="1">
        <v>46185</v>
      </c>
      <c r="D86" s="2">
        <v>4172.3</v>
      </c>
      <c r="E86" s="2">
        <v>4216</v>
      </c>
      <c r="F86" s="2">
        <v>4224</v>
      </c>
      <c r="G86" s="2">
        <v>4166.5</v>
      </c>
      <c r="H86" s="2">
        <v>4192</v>
      </c>
      <c r="I86" s="2">
        <v>4192.3</v>
      </c>
      <c r="J86" s="2">
        <v>4194.38</v>
      </c>
      <c r="K86" s="3">
        <v>693290</v>
      </c>
      <c r="L86" s="2">
        <v>2907921584.4000001</v>
      </c>
      <c r="M86" s="3">
        <v>44936</v>
      </c>
      <c r="N86" s="3">
        <v>380462</v>
      </c>
      <c r="O86">
        <v>54.88</v>
      </c>
    </row>
    <row r="87" spans="1:15">
      <c r="A87" t="s">
        <v>15</v>
      </c>
      <c r="B87" t="s">
        <v>16</v>
      </c>
      <c r="C87" s="1">
        <v>46184</v>
      </c>
      <c r="D87" s="2">
        <v>4219.2</v>
      </c>
      <c r="E87" s="2">
        <v>4185</v>
      </c>
      <c r="F87" s="2">
        <v>4223.3999999999996</v>
      </c>
      <c r="G87" s="2">
        <v>4160</v>
      </c>
      <c r="H87" s="2">
        <v>4167.1000000000004</v>
      </c>
      <c r="I87" s="2">
        <v>4172.3</v>
      </c>
      <c r="J87" s="2">
        <v>4187.59</v>
      </c>
      <c r="K87" s="3">
        <v>555963</v>
      </c>
      <c r="L87" s="2">
        <v>2328143519.0999999</v>
      </c>
      <c r="M87" s="3">
        <v>44549</v>
      </c>
      <c r="N87" s="3">
        <v>256993</v>
      </c>
      <c r="O87">
        <v>46.22</v>
      </c>
    </row>
    <row r="88" spans="1:15">
      <c r="A88" t="s">
        <v>15</v>
      </c>
      <c r="B88" t="s">
        <v>16</v>
      </c>
      <c r="C88" s="1">
        <v>46183</v>
      </c>
      <c r="D88" s="2">
        <v>4263.8</v>
      </c>
      <c r="E88" s="2">
        <v>4284.5</v>
      </c>
      <c r="F88" s="2">
        <v>4321</v>
      </c>
      <c r="G88" s="2">
        <v>4197.6000000000004</v>
      </c>
      <c r="H88" s="2">
        <v>4220</v>
      </c>
      <c r="I88" s="2">
        <v>4219.2</v>
      </c>
      <c r="J88" s="2">
        <v>4264.2</v>
      </c>
      <c r="K88" s="3">
        <v>674281</v>
      </c>
      <c r="L88" s="2">
        <v>2875270630.4000001</v>
      </c>
      <c r="M88" s="3">
        <v>41428</v>
      </c>
      <c r="N88" s="3">
        <v>328534</v>
      </c>
      <c r="O88">
        <v>48.72</v>
      </c>
    </row>
    <row r="89" spans="1:15">
      <c r="A89" t="s">
        <v>15</v>
      </c>
      <c r="B89" t="s">
        <v>16</v>
      </c>
      <c r="C89" s="1">
        <v>46182</v>
      </c>
      <c r="D89" s="2">
        <v>4238</v>
      </c>
      <c r="E89" s="2">
        <v>4238</v>
      </c>
      <c r="F89" s="2">
        <v>4271.8999999999996</v>
      </c>
      <c r="G89" s="2">
        <v>4188</v>
      </c>
      <c r="H89" s="2">
        <v>4270.8</v>
      </c>
      <c r="I89" s="2">
        <v>4263.8</v>
      </c>
      <c r="J89" s="2">
        <v>4242.91</v>
      </c>
      <c r="K89" s="3">
        <v>662719</v>
      </c>
      <c r="L89" s="2">
        <v>2811858692.0999999</v>
      </c>
      <c r="M89" s="3">
        <v>44198</v>
      </c>
      <c r="N89" s="3">
        <v>252694</v>
      </c>
      <c r="O89">
        <v>38.130000000000003</v>
      </c>
    </row>
    <row r="90" spans="1:15">
      <c r="A90" t="s">
        <v>15</v>
      </c>
      <c r="B90" t="s">
        <v>16</v>
      </c>
      <c r="C90" s="1">
        <v>46181</v>
      </c>
      <c r="D90" s="2">
        <v>4216.8999999999996</v>
      </c>
      <c r="E90" s="2">
        <v>4166.6000000000004</v>
      </c>
      <c r="F90" s="2">
        <v>4285</v>
      </c>
      <c r="G90" s="2">
        <v>4148.8</v>
      </c>
      <c r="H90" s="2">
        <v>4230</v>
      </c>
      <c r="I90" s="2">
        <v>4238</v>
      </c>
      <c r="J90" s="2">
        <v>4216.37</v>
      </c>
      <c r="K90" s="3">
        <v>719608</v>
      </c>
      <c r="L90" s="2">
        <v>3034134976.1999998</v>
      </c>
      <c r="M90" s="3">
        <v>47688</v>
      </c>
      <c r="N90" s="3">
        <v>267068</v>
      </c>
      <c r="O90">
        <v>37.11</v>
      </c>
    </row>
    <row r="91" spans="1:15">
      <c r="A91" t="s">
        <v>15</v>
      </c>
      <c r="B91" t="s">
        <v>16</v>
      </c>
      <c r="C91" s="1">
        <v>46178</v>
      </c>
      <c r="D91" s="2">
        <v>4191</v>
      </c>
      <c r="E91" s="2">
        <v>4219</v>
      </c>
      <c r="F91" s="2">
        <v>4262.5</v>
      </c>
      <c r="G91" s="2">
        <v>4205.3</v>
      </c>
      <c r="H91" s="2">
        <v>4216</v>
      </c>
      <c r="I91" s="2">
        <v>4216.8999999999996</v>
      </c>
      <c r="J91" s="2">
        <v>4232.8999999999996</v>
      </c>
      <c r="K91" s="3">
        <v>492608</v>
      </c>
      <c r="L91" s="2">
        <v>2085160619.2</v>
      </c>
      <c r="M91" s="3">
        <v>32167</v>
      </c>
      <c r="N91" s="3">
        <v>142822</v>
      </c>
      <c r="O91">
        <v>28.99</v>
      </c>
    </row>
    <row r="92" spans="1:15">
      <c r="A92" t="s">
        <v>15</v>
      </c>
      <c r="B92" t="s">
        <v>16</v>
      </c>
      <c r="C92" s="1">
        <v>46177</v>
      </c>
      <c r="D92" s="2">
        <v>4264.1000000000004</v>
      </c>
      <c r="E92" s="2">
        <v>4260</v>
      </c>
      <c r="F92" s="2">
        <v>4297</v>
      </c>
      <c r="G92" s="2">
        <v>4176.1000000000004</v>
      </c>
      <c r="H92" s="2">
        <v>4201.8999999999996</v>
      </c>
      <c r="I92" s="2">
        <v>4191</v>
      </c>
      <c r="J92" s="2">
        <v>4233.67</v>
      </c>
      <c r="K92" s="3">
        <v>718095</v>
      </c>
      <c r="L92" s="2">
        <v>3040176408.4000001</v>
      </c>
      <c r="M92" s="3">
        <v>55281</v>
      </c>
      <c r="N92" s="3">
        <v>364337</v>
      </c>
      <c r="O92">
        <v>50.74</v>
      </c>
    </row>
    <row r="93" spans="1:15">
      <c r="A93" t="s">
        <v>15</v>
      </c>
      <c r="B93" t="s">
        <v>16</v>
      </c>
      <c r="C93" s="1">
        <v>46176</v>
      </c>
      <c r="D93" s="2">
        <v>4278.5</v>
      </c>
      <c r="E93" s="2">
        <v>4295.5</v>
      </c>
      <c r="F93" s="2">
        <v>4296.8</v>
      </c>
      <c r="G93" s="2">
        <v>4209.6000000000004</v>
      </c>
      <c r="H93" s="2">
        <v>4268.1000000000004</v>
      </c>
      <c r="I93" s="2">
        <v>4264.1000000000004</v>
      </c>
      <c r="J93" s="2">
        <v>4251.22</v>
      </c>
      <c r="K93" s="3">
        <v>1122282</v>
      </c>
      <c r="L93" s="2">
        <v>4771069453.3999996</v>
      </c>
      <c r="M93" s="3">
        <v>57600</v>
      </c>
      <c r="N93" s="3">
        <v>601136</v>
      </c>
      <c r="O93">
        <v>53.56</v>
      </c>
    </row>
    <row r="94" spans="1:15">
      <c r="A94" t="s">
        <v>15</v>
      </c>
      <c r="B94" t="s">
        <v>16</v>
      </c>
      <c r="C94" s="1">
        <v>46175</v>
      </c>
      <c r="D94" s="2">
        <v>4254.1000000000004</v>
      </c>
      <c r="E94" s="2">
        <v>4210</v>
      </c>
      <c r="F94" s="2">
        <v>4300</v>
      </c>
      <c r="G94" s="2">
        <v>4177</v>
      </c>
      <c r="H94" s="2">
        <v>4296.8</v>
      </c>
      <c r="I94" s="2">
        <v>4278.5</v>
      </c>
      <c r="J94" s="2">
        <v>4233.96</v>
      </c>
      <c r="K94" s="3">
        <v>1251023</v>
      </c>
      <c r="L94" s="2">
        <v>5296777113.3000002</v>
      </c>
      <c r="M94" s="3">
        <v>58290</v>
      </c>
      <c r="N94" s="3">
        <v>680666</v>
      </c>
      <c r="O94">
        <v>54.41</v>
      </c>
    </row>
    <row r="95" spans="1:15">
      <c r="A95" t="s">
        <v>15</v>
      </c>
      <c r="B95" t="s">
        <v>16</v>
      </c>
      <c r="C95" s="1">
        <v>46174</v>
      </c>
      <c r="D95" s="2">
        <v>4303.8</v>
      </c>
      <c r="E95" s="2">
        <v>4303.8</v>
      </c>
      <c r="F95" s="2">
        <v>4340</v>
      </c>
      <c r="G95" s="2">
        <v>4233.2</v>
      </c>
      <c r="H95" s="2">
        <v>4240</v>
      </c>
      <c r="I95" s="2">
        <v>4254.1000000000004</v>
      </c>
      <c r="J95" s="2">
        <v>4271.55</v>
      </c>
      <c r="K95" s="3">
        <v>707271</v>
      </c>
      <c r="L95" s="2">
        <v>3021144898.0999999</v>
      </c>
      <c r="M95" s="3">
        <v>55365</v>
      </c>
      <c r="N95" s="3">
        <v>281538</v>
      </c>
      <c r="O95">
        <v>39.81</v>
      </c>
    </row>
    <row r="96" spans="1:15">
      <c r="A96" t="s">
        <v>15</v>
      </c>
      <c r="B96" t="s">
        <v>16</v>
      </c>
      <c r="C96" s="1">
        <v>46171</v>
      </c>
      <c r="D96" s="2">
        <v>4413</v>
      </c>
      <c r="E96" s="2">
        <v>4409.8</v>
      </c>
      <c r="F96" s="2">
        <v>4418</v>
      </c>
      <c r="G96" s="2">
        <v>4255.3</v>
      </c>
      <c r="H96" s="2">
        <v>4306.8999999999996</v>
      </c>
      <c r="I96" s="2">
        <v>4303.8</v>
      </c>
      <c r="J96" s="2">
        <v>4320.3900000000003</v>
      </c>
      <c r="K96" s="3">
        <v>4597399</v>
      </c>
      <c r="L96" s="2">
        <v>19862553398</v>
      </c>
      <c r="M96" s="3">
        <v>133007</v>
      </c>
      <c r="N96" s="3">
        <v>3244505</v>
      </c>
      <c r="O96">
        <v>70.569999999999993</v>
      </c>
    </row>
    <row r="97" spans="1:15">
      <c r="A97" t="s">
        <v>15</v>
      </c>
      <c r="B97" t="s">
        <v>16</v>
      </c>
      <c r="C97" s="1">
        <v>46169</v>
      </c>
      <c r="D97" s="2">
        <v>4427.7</v>
      </c>
      <c r="E97" s="2">
        <v>4430</v>
      </c>
      <c r="F97" s="2">
        <v>4474</v>
      </c>
      <c r="G97" s="2">
        <v>4404.2</v>
      </c>
      <c r="H97" s="2">
        <v>4416.5</v>
      </c>
      <c r="I97" s="2">
        <v>4413</v>
      </c>
      <c r="J97" s="2">
        <v>4434.8500000000004</v>
      </c>
      <c r="K97" s="3">
        <v>502395</v>
      </c>
      <c r="L97" s="2">
        <v>2228046345.4000001</v>
      </c>
      <c r="M97" s="3">
        <v>56298</v>
      </c>
      <c r="N97" s="3">
        <v>227674</v>
      </c>
      <c r="O97">
        <v>45.32</v>
      </c>
    </row>
    <row r="98" spans="1:15">
      <c r="A98" t="s">
        <v>15</v>
      </c>
      <c r="B98" t="s">
        <v>16</v>
      </c>
      <c r="C98" s="1">
        <v>46168</v>
      </c>
      <c r="D98" s="2">
        <v>4425.8999999999996</v>
      </c>
      <c r="E98" s="2">
        <v>4424.8999999999996</v>
      </c>
      <c r="F98" s="2">
        <v>4449.3</v>
      </c>
      <c r="G98" s="2">
        <v>4393.7</v>
      </c>
      <c r="H98" s="2">
        <v>4435.5</v>
      </c>
      <c r="I98" s="2">
        <v>4427.7</v>
      </c>
      <c r="J98" s="2">
        <v>4425.2700000000004</v>
      </c>
      <c r="K98" s="3">
        <v>983680</v>
      </c>
      <c r="L98" s="2">
        <v>4353044901</v>
      </c>
      <c r="M98" s="3">
        <v>40384</v>
      </c>
      <c r="N98" s="3">
        <v>546807</v>
      </c>
      <c r="O98">
        <v>55.59</v>
      </c>
    </row>
    <row r="99" spans="1:15">
      <c r="A99" t="s">
        <v>15</v>
      </c>
      <c r="B99" t="s">
        <v>16</v>
      </c>
      <c r="C99" s="1">
        <v>46167</v>
      </c>
      <c r="D99" s="2">
        <v>4368.3999999999996</v>
      </c>
      <c r="E99" s="2">
        <v>4391.2</v>
      </c>
      <c r="F99" s="2">
        <v>4437.8999999999996</v>
      </c>
      <c r="G99" s="2">
        <v>4385.3999999999996</v>
      </c>
      <c r="H99" s="2">
        <v>4425</v>
      </c>
      <c r="I99" s="2">
        <v>4425.8999999999996</v>
      </c>
      <c r="J99" s="2">
        <v>4419.9799999999996</v>
      </c>
      <c r="K99" s="3">
        <v>1063255</v>
      </c>
      <c r="L99" s="2">
        <v>4699568494.8000002</v>
      </c>
      <c r="M99" s="3">
        <v>57344</v>
      </c>
      <c r="N99" s="3">
        <v>536990</v>
      </c>
      <c r="O99">
        <v>50.5</v>
      </c>
    </row>
    <row r="100" spans="1:15">
      <c r="A100" t="s">
        <v>15</v>
      </c>
      <c r="B100" t="s">
        <v>16</v>
      </c>
      <c r="C100" s="1">
        <v>46164</v>
      </c>
      <c r="D100" s="2">
        <v>4370.3999999999996</v>
      </c>
      <c r="E100" s="2">
        <v>4370.3999999999996</v>
      </c>
      <c r="F100" s="2">
        <v>4429.7</v>
      </c>
      <c r="G100" s="2">
        <v>4345.5</v>
      </c>
      <c r="H100" s="2">
        <v>4363</v>
      </c>
      <c r="I100" s="2">
        <v>4368.3999999999996</v>
      </c>
      <c r="J100" s="2">
        <v>4390.1400000000003</v>
      </c>
      <c r="K100" s="3">
        <v>845826</v>
      </c>
      <c r="L100" s="2">
        <v>3713298121.3000002</v>
      </c>
      <c r="M100" s="3">
        <v>60086</v>
      </c>
      <c r="N100" s="3">
        <v>435658</v>
      </c>
      <c r="O100">
        <v>51.51</v>
      </c>
    </row>
    <row r="101" spans="1:15">
      <c r="A101" t="s">
        <v>15</v>
      </c>
      <c r="B101" t="s">
        <v>16</v>
      </c>
      <c r="C101" s="1">
        <v>46163</v>
      </c>
      <c r="D101" s="2">
        <v>4326.5</v>
      </c>
      <c r="E101" s="2">
        <v>4363</v>
      </c>
      <c r="F101" s="2">
        <v>4420.8999999999996</v>
      </c>
      <c r="G101" s="2">
        <v>4344.3999999999996</v>
      </c>
      <c r="H101" s="2">
        <v>4364</v>
      </c>
      <c r="I101" s="2">
        <v>4370.3999999999996</v>
      </c>
      <c r="J101" s="2">
        <v>4380.1400000000003</v>
      </c>
      <c r="K101" s="3">
        <v>1106287</v>
      </c>
      <c r="L101" s="2">
        <v>4845691396.8999996</v>
      </c>
      <c r="M101" s="3">
        <v>56640</v>
      </c>
      <c r="N101" s="3">
        <v>548420</v>
      </c>
      <c r="O101">
        <v>49.57</v>
      </c>
    </row>
    <row r="102" spans="1:15">
      <c r="A102" t="s">
        <v>15</v>
      </c>
      <c r="B102" t="s">
        <v>16</v>
      </c>
      <c r="C102" s="1">
        <v>46162</v>
      </c>
      <c r="D102" s="2">
        <v>4333.2</v>
      </c>
      <c r="E102" s="2">
        <v>4300</v>
      </c>
      <c r="F102" s="2">
        <v>4347.5</v>
      </c>
      <c r="G102" s="2">
        <v>4251.1000000000004</v>
      </c>
      <c r="H102" s="2">
        <v>4327</v>
      </c>
      <c r="I102" s="2">
        <v>4326.5</v>
      </c>
      <c r="J102" s="2">
        <v>4299.88</v>
      </c>
      <c r="K102" s="3">
        <v>1262228</v>
      </c>
      <c r="L102" s="2">
        <v>5427424745.1000004</v>
      </c>
      <c r="M102" s="3">
        <v>61952</v>
      </c>
      <c r="N102" s="3">
        <v>645021</v>
      </c>
      <c r="O102">
        <v>51.1</v>
      </c>
    </row>
    <row r="103" spans="1:15">
      <c r="A103" t="s">
        <v>15</v>
      </c>
      <c r="B103" t="s">
        <v>16</v>
      </c>
      <c r="C103" s="1">
        <v>46161</v>
      </c>
      <c r="D103" s="2">
        <v>4326.5</v>
      </c>
      <c r="E103" s="2">
        <v>4325.7</v>
      </c>
      <c r="F103" s="2">
        <v>4378</v>
      </c>
      <c r="G103" s="2">
        <v>4285.2</v>
      </c>
      <c r="H103" s="2">
        <v>4339.8999999999996</v>
      </c>
      <c r="I103" s="2">
        <v>4333.2</v>
      </c>
      <c r="J103" s="2">
        <v>4339.41</v>
      </c>
      <c r="K103" s="3">
        <v>1438816</v>
      </c>
      <c r="L103" s="2">
        <v>6243610330.1000004</v>
      </c>
      <c r="M103" s="3">
        <v>103635</v>
      </c>
      <c r="N103" s="3">
        <v>756089</v>
      </c>
      <c r="O103">
        <v>52.55</v>
      </c>
    </row>
    <row r="104" spans="1:15">
      <c r="A104" t="s">
        <v>15</v>
      </c>
      <c r="B104" t="s">
        <v>16</v>
      </c>
      <c r="C104" s="1">
        <v>46160</v>
      </c>
      <c r="D104" s="2">
        <v>4386.2</v>
      </c>
      <c r="E104" s="2">
        <v>4359.3999999999996</v>
      </c>
      <c r="F104" s="2">
        <v>4375.8999999999996</v>
      </c>
      <c r="G104" s="2">
        <v>4175</v>
      </c>
      <c r="H104" s="2">
        <v>4322</v>
      </c>
      <c r="I104" s="2">
        <v>4326.5</v>
      </c>
      <c r="J104" s="2">
        <v>4273.91</v>
      </c>
      <c r="K104" s="3">
        <v>2044382</v>
      </c>
      <c r="L104" s="2">
        <v>8737500231.2000008</v>
      </c>
      <c r="M104" s="3">
        <v>118598</v>
      </c>
      <c r="N104" s="3">
        <v>820204</v>
      </c>
      <c r="O104">
        <v>40.119999999999997</v>
      </c>
    </row>
    <row r="105" spans="1:15">
      <c r="A105" t="s">
        <v>15</v>
      </c>
      <c r="B105" t="s">
        <v>16</v>
      </c>
      <c r="C105" s="1">
        <v>46157</v>
      </c>
      <c r="D105" s="2">
        <v>4608</v>
      </c>
      <c r="E105" s="2">
        <v>4610</v>
      </c>
      <c r="F105" s="2">
        <v>4618</v>
      </c>
      <c r="G105" s="2">
        <v>4370</v>
      </c>
      <c r="H105" s="2">
        <v>4377</v>
      </c>
      <c r="I105" s="2">
        <v>4386.2</v>
      </c>
      <c r="J105" s="2">
        <v>4440.0600000000004</v>
      </c>
      <c r="K105" s="3">
        <v>2201976</v>
      </c>
      <c r="L105" s="2">
        <v>9776897999.3999996</v>
      </c>
      <c r="M105" s="3">
        <v>160658</v>
      </c>
      <c r="N105" s="3">
        <v>805539</v>
      </c>
      <c r="O105">
        <v>36.58</v>
      </c>
    </row>
    <row r="106" spans="1:15">
      <c r="A106" t="s">
        <v>15</v>
      </c>
      <c r="B106" t="s">
        <v>16</v>
      </c>
      <c r="C106" s="1">
        <v>46156</v>
      </c>
      <c r="D106" s="2">
        <v>4618.5</v>
      </c>
      <c r="E106" s="2">
        <v>4649</v>
      </c>
      <c r="F106" s="2">
        <v>4808.6000000000004</v>
      </c>
      <c r="G106" s="2">
        <v>4548</v>
      </c>
      <c r="H106" s="2">
        <v>4605</v>
      </c>
      <c r="I106" s="2">
        <v>4608</v>
      </c>
      <c r="J106" s="2">
        <v>4677.08</v>
      </c>
      <c r="K106" s="3">
        <v>3241559</v>
      </c>
      <c r="L106" s="2">
        <v>15161015919.6</v>
      </c>
      <c r="M106" s="3">
        <v>198918</v>
      </c>
      <c r="N106" s="3">
        <v>969821</v>
      </c>
      <c r="O106">
        <v>29.92</v>
      </c>
    </row>
    <row r="107" spans="1:15">
      <c r="A107" t="s">
        <v>15</v>
      </c>
      <c r="B107" t="s">
        <v>16</v>
      </c>
      <c r="C107" s="1">
        <v>46155</v>
      </c>
      <c r="D107" s="2">
        <v>4572.5</v>
      </c>
      <c r="E107" s="2">
        <v>4550</v>
      </c>
      <c r="F107" s="2">
        <v>4692</v>
      </c>
      <c r="G107" s="2">
        <v>4536.7</v>
      </c>
      <c r="H107" s="2">
        <v>4624.7</v>
      </c>
      <c r="I107" s="2">
        <v>4618.5</v>
      </c>
      <c r="J107" s="2">
        <v>4633.88</v>
      </c>
      <c r="K107" s="3">
        <v>1092960</v>
      </c>
      <c r="L107" s="2">
        <v>5064649848.3000002</v>
      </c>
      <c r="M107" s="3">
        <v>74362</v>
      </c>
      <c r="N107" s="3">
        <v>382592</v>
      </c>
      <c r="O107">
        <v>35.01</v>
      </c>
    </row>
    <row r="108" spans="1:15">
      <c r="A108" t="s">
        <v>15</v>
      </c>
      <c r="B108" t="s">
        <v>16</v>
      </c>
      <c r="C108" s="1">
        <v>46154</v>
      </c>
      <c r="D108" s="2">
        <v>4756.3</v>
      </c>
      <c r="E108" s="2">
        <v>4730</v>
      </c>
      <c r="F108" s="2">
        <v>4744.8999999999996</v>
      </c>
      <c r="G108" s="2">
        <v>4556.1000000000004</v>
      </c>
      <c r="H108" s="2">
        <v>4572.8</v>
      </c>
      <c r="I108" s="2">
        <v>4572.5</v>
      </c>
      <c r="J108" s="2">
        <v>4639.67</v>
      </c>
      <c r="K108" s="3">
        <v>1587979</v>
      </c>
      <c r="L108" s="2">
        <v>7367692104.6999998</v>
      </c>
      <c r="M108" s="3">
        <v>98869</v>
      </c>
      <c r="N108" s="3">
        <v>978079</v>
      </c>
      <c r="O108">
        <v>61.59</v>
      </c>
    </row>
    <row r="109" spans="1:15">
      <c r="A109" t="s">
        <v>15</v>
      </c>
      <c r="B109" t="s">
        <v>16</v>
      </c>
      <c r="C109" s="1">
        <v>46153</v>
      </c>
      <c r="D109" s="2">
        <v>4788.1000000000004</v>
      </c>
      <c r="E109" s="2">
        <v>4779.2</v>
      </c>
      <c r="F109" s="2">
        <v>4808.5</v>
      </c>
      <c r="G109" s="2">
        <v>4739.7</v>
      </c>
      <c r="H109" s="2">
        <v>4750</v>
      </c>
      <c r="I109" s="2">
        <v>4756.3</v>
      </c>
      <c r="J109" s="2">
        <v>4769.97</v>
      </c>
      <c r="K109" s="3">
        <v>1218880</v>
      </c>
      <c r="L109" s="2">
        <v>5814023985.6000004</v>
      </c>
      <c r="M109" s="3">
        <v>75177</v>
      </c>
      <c r="N109" s="3">
        <v>649965</v>
      </c>
      <c r="O109">
        <v>53.32</v>
      </c>
    </row>
    <row r="110" spans="1:15">
      <c r="A110" t="s">
        <v>15</v>
      </c>
      <c r="B110" t="s">
        <v>16</v>
      </c>
      <c r="C110" s="1">
        <v>46150</v>
      </c>
      <c r="D110" s="2">
        <v>4782.1000000000004</v>
      </c>
      <c r="E110" s="2">
        <v>4794</v>
      </c>
      <c r="F110" s="2">
        <v>4836.3</v>
      </c>
      <c r="G110" s="2">
        <v>4733</v>
      </c>
      <c r="H110" s="2">
        <v>4791</v>
      </c>
      <c r="I110" s="2">
        <v>4788.1000000000004</v>
      </c>
      <c r="J110" s="2">
        <v>4785.04</v>
      </c>
      <c r="K110" s="3">
        <v>1674686</v>
      </c>
      <c r="L110" s="2">
        <v>8013446244.8000002</v>
      </c>
      <c r="M110" s="3">
        <v>102004</v>
      </c>
      <c r="N110" s="3">
        <v>907879</v>
      </c>
      <c r="O110">
        <v>54.21</v>
      </c>
    </row>
    <row r="111" spans="1:15">
      <c r="A111" t="s">
        <v>15</v>
      </c>
      <c r="B111" t="s">
        <v>16</v>
      </c>
      <c r="C111" s="1">
        <v>46149</v>
      </c>
      <c r="D111" s="2">
        <v>4626.8999999999996</v>
      </c>
      <c r="E111" s="2">
        <v>4647.8</v>
      </c>
      <c r="F111" s="2">
        <v>4796</v>
      </c>
      <c r="G111" s="2">
        <v>4628.1000000000004</v>
      </c>
      <c r="H111" s="2">
        <v>4795</v>
      </c>
      <c r="I111" s="2">
        <v>4782.1000000000004</v>
      </c>
      <c r="J111" s="2">
        <v>4735.03</v>
      </c>
      <c r="K111" s="3">
        <v>1889223</v>
      </c>
      <c r="L111" s="2">
        <v>8945536080.2999992</v>
      </c>
      <c r="M111" s="3">
        <v>103315</v>
      </c>
      <c r="N111" s="3">
        <v>842369</v>
      </c>
      <c r="O111">
        <v>44.59</v>
      </c>
    </row>
    <row r="112" spans="1:15">
      <c r="A112" t="s">
        <v>15</v>
      </c>
      <c r="B112" t="s">
        <v>16</v>
      </c>
      <c r="C112" s="1">
        <v>46148</v>
      </c>
      <c r="D112" s="2">
        <v>4610.3999999999996</v>
      </c>
      <c r="E112" s="2">
        <v>4628.8999999999996</v>
      </c>
      <c r="F112" s="2">
        <v>4671.5</v>
      </c>
      <c r="G112" s="2">
        <v>4610</v>
      </c>
      <c r="H112" s="2">
        <v>4635</v>
      </c>
      <c r="I112" s="2">
        <v>4626.8999999999996</v>
      </c>
      <c r="J112" s="2">
        <v>4639.66</v>
      </c>
      <c r="K112" s="3">
        <v>775836</v>
      </c>
      <c r="L112" s="2">
        <v>3599612989.3000002</v>
      </c>
      <c r="M112" s="3">
        <v>47463</v>
      </c>
      <c r="N112" s="3">
        <v>368008</v>
      </c>
      <c r="O112">
        <v>47.43</v>
      </c>
    </row>
    <row r="113" spans="1:15">
      <c r="A113" t="s">
        <v>15</v>
      </c>
      <c r="B113" t="s">
        <v>16</v>
      </c>
      <c r="C113" s="1">
        <v>46147</v>
      </c>
      <c r="D113" s="2">
        <v>4559.5</v>
      </c>
      <c r="E113" s="2">
        <v>4559</v>
      </c>
      <c r="F113" s="2">
        <v>4677.5</v>
      </c>
      <c r="G113" s="2">
        <v>4534</v>
      </c>
      <c r="H113" s="2">
        <v>4619</v>
      </c>
      <c r="I113" s="2">
        <v>4610.3999999999996</v>
      </c>
      <c r="J113" s="2">
        <v>4627.2</v>
      </c>
      <c r="K113" s="3">
        <v>1476586</v>
      </c>
      <c r="L113" s="2">
        <v>6832453147.8000002</v>
      </c>
      <c r="M113" s="3">
        <v>104068</v>
      </c>
      <c r="N113" s="3">
        <v>550021</v>
      </c>
      <c r="O113">
        <v>37.25</v>
      </c>
    </row>
    <row r="114" spans="1:15">
      <c r="A114" t="s">
        <v>15</v>
      </c>
      <c r="B114" t="s">
        <v>16</v>
      </c>
      <c r="C114" s="1">
        <v>46146</v>
      </c>
      <c r="D114" s="2">
        <v>4338.8</v>
      </c>
      <c r="E114" s="2">
        <v>4356</v>
      </c>
      <c r="F114" s="2">
        <v>4590</v>
      </c>
      <c r="G114" s="2">
        <v>4318</v>
      </c>
      <c r="H114" s="2">
        <v>4558.5</v>
      </c>
      <c r="I114" s="2">
        <v>4559.5</v>
      </c>
      <c r="J114" s="2">
        <v>4533.4799999999996</v>
      </c>
      <c r="K114" s="3">
        <v>2841170</v>
      </c>
      <c r="L114" s="2">
        <v>12880380938</v>
      </c>
      <c r="M114" s="3">
        <v>180629</v>
      </c>
      <c r="N114" s="3">
        <v>1153715</v>
      </c>
      <c r="O114">
        <v>40.61</v>
      </c>
    </row>
    <row r="115" spans="1:15">
      <c r="A115" t="s">
        <v>15</v>
      </c>
      <c r="B115" t="s">
        <v>16</v>
      </c>
      <c r="C115" s="1">
        <v>46142</v>
      </c>
      <c r="D115" s="2">
        <v>4351.6000000000004</v>
      </c>
      <c r="E115" s="2">
        <v>4349</v>
      </c>
      <c r="F115" s="2">
        <v>4379</v>
      </c>
      <c r="G115" s="2">
        <v>4289.3</v>
      </c>
      <c r="H115" s="2">
        <v>4330</v>
      </c>
      <c r="I115" s="2">
        <v>4338.8</v>
      </c>
      <c r="J115" s="2">
        <v>4335.24</v>
      </c>
      <c r="K115" s="3">
        <v>818024</v>
      </c>
      <c r="L115" s="2">
        <v>3546331144.6999998</v>
      </c>
      <c r="M115" s="3">
        <v>44122</v>
      </c>
      <c r="N115" s="3">
        <v>395080</v>
      </c>
      <c r="O115">
        <v>48.3</v>
      </c>
    </row>
    <row r="116" spans="1:15">
      <c r="A116" t="s">
        <v>15</v>
      </c>
      <c r="B116" t="s">
        <v>16</v>
      </c>
      <c r="C116" s="1">
        <v>46141</v>
      </c>
      <c r="D116" s="2">
        <v>4341.3999999999996</v>
      </c>
      <c r="E116" s="2">
        <v>4360</v>
      </c>
      <c r="F116" s="2">
        <v>4397.3</v>
      </c>
      <c r="G116" s="2">
        <v>4329</v>
      </c>
      <c r="H116" s="2">
        <v>4356.8999999999996</v>
      </c>
      <c r="I116" s="2">
        <v>4351.6000000000004</v>
      </c>
      <c r="J116" s="2">
        <v>4354.91</v>
      </c>
      <c r="K116" s="3">
        <v>907743</v>
      </c>
      <c r="L116" s="2">
        <v>3953135074.4000001</v>
      </c>
      <c r="M116" s="3">
        <v>40784</v>
      </c>
      <c r="N116" s="3">
        <v>562067</v>
      </c>
      <c r="O116">
        <v>61.92</v>
      </c>
    </row>
    <row r="117" spans="1:15">
      <c r="A117" t="s">
        <v>15</v>
      </c>
      <c r="B117" t="s">
        <v>16</v>
      </c>
      <c r="C117" s="1">
        <v>46140</v>
      </c>
      <c r="D117" s="2">
        <v>4310.3</v>
      </c>
      <c r="E117" s="2">
        <v>4310.3</v>
      </c>
      <c r="F117" s="2">
        <v>4360</v>
      </c>
      <c r="G117" s="2">
        <v>4302.5</v>
      </c>
      <c r="H117" s="2">
        <v>4351</v>
      </c>
      <c r="I117" s="2">
        <v>4341.3999999999996</v>
      </c>
      <c r="J117" s="2">
        <v>4326.93</v>
      </c>
      <c r="K117" s="3">
        <v>556358</v>
      </c>
      <c r="L117" s="2">
        <v>2407324791.8000002</v>
      </c>
      <c r="M117" s="3">
        <v>34141</v>
      </c>
      <c r="N117" s="3">
        <v>248224</v>
      </c>
      <c r="O117">
        <v>44.62</v>
      </c>
    </row>
    <row r="118" spans="1:15">
      <c r="A118" t="s">
        <v>15</v>
      </c>
      <c r="B118" t="s">
        <v>16</v>
      </c>
      <c r="C118" s="1">
        <v>46139</v>
      </c>
      <c r="D118" s="2">
        <v>4265.8</v>
      </c>
      <c r="E118" s="2">
        <v>4280</v>
      </c>
      <c r="F118" s="2">
        <v>4340.2</v>
      </c>
      <c r="G118" s="2">
        <v>4280</v>
      </c>
      <c r="H118" s="2">
        <v>4313</v>
      </c>
      <c r="I118" s="2">
        <v>4310.3</v>
      </c>
      <c r="J118" s="2">
        <v>4311.46</v>
      </c>
      <c r="K118" s="3">
        <v>449038</v>
      </c>
      <c r="L118" s="2">
        <v>1936007580.5</v>
      </c>
      <c r="M118" s="3">
        <v>38457</v>
      </c>
      <c r="N118" s="3">
        <v>199840</v>
      </c>
      <c r="O118">
        <v>44.5</v>
      </c>
    </row>
    <row r="119" spans="1:15">
      <c r="A119" t="s">
        <v>15</v>
      </c>
      <c r="B119" t="s">
        <v>16</v>
      </c>
      <c r="C119" s="1">
        <v>46136</v>
      </c>
      <c r="D119" s="2">
        <v>4352.5</v>
      </c>
      <c r="E119" s="2">
        <v>4352.5</v>
      </c>
      <c r="F119" s="2">
        <v>4387.3</v>
      </c>
      <c r="G119" s="2">
        <v>4236.1000000000004</v>
      </c>
      <c r="H119" s="2">
        <v>4270.5</v>
      </c>
      <c r="I119" s="2">
        <v>4265.8</v>
      </c>
      <c r="J119" s="2">
        <v>4284.1899999999996</v>
      </c>
      <c r="K119" s="3">
        <v>799635</v>
      </c>
      <c r="L119" s="2">
        <v>3425789309.3000002</v>
      </c>
      <c r="M119" s="3">
        <v>50219</v>
      </c>
      <c r="N119" s="3">
        <v>330889</v>
      </c>
      <c r="O119">
        <v>41.38</v>
      </c>
    </row>
    <row r="120" spans="1:15">
      <c r="A120" t="s">
        <v>15</v>
      </c>
      <c r="B120" t="s">
        <v>16</v>
      </c>
      <c r="C120" s="1">
        <v>46135</v>
      </c>
      <c r="D120" s="2">
        <v>4400.6000000000004</v>
      </c>
      <c r="E120" s="2">
        <v>4400.6000000000004</v>
      </c>
      <c r="F120" s="2">
        <v>4402.5</v>
      </c>
      <c r="G120" s="2">
        <v>4335</v>
      </c>
      <c r="H120" s="2">
        <v>4350</v>
      </c>
      <c r="I120" s="2">
        <v>4352.5</v>
      </c>
      <c r="J120" s="2">
        <v>4366.57</v>
      </c>
      <c r="K120" s="3">
        <v>629014</v>
      </c>
      <c r="L120" s="2">
        <v>2746631120.5999999</v>
      </c>
      <c r="M120" s="3">
        <v>45346</v>
      </c>
      <c r="N120" s="3">
        <v>251915</v>
      </c>
      <c r="O120">
        <v>40.049999999999997</v>
      </c>
    </row>
    <row r="121" spans="1:15">
      <c r="A121" t="s">
        <v>15</v>
      </c>
      <c r="B121" t="s">
        <v>16</v>
      </c>
      <c r="C121" s="1">
        <v>46134</v>
      </c>
      <c r="D121" s="2">
        <v>4358.3999999999996</v>
      </c>
      <c r="E121" s="2">
        <v>4350</v>
      </c>
      <c r="F121" s="2">
        <v>4413</v>
      </c>
      <c r="G121" s="2">
        <v>4331</v>
      </c>
      <c r="H121" s="2">
        <v>4394</v>
      </c>
      <c r="I121" s="2">
        <v>4400.6000000000004</v>
      </c>
      <c r="J121" s="2">
        <v>4390.8900000000003</v>
      </c>
      <c r="K121" s="3">
        <v>796091</v>
      </c>
      <c r="L121" s="2">
        <v>3495544723.4000001</v>
      </c>
      <c r="M121" s="3">
        <v>47399</v>
      </c>
      <c r="N121" s="3">
        <v>387907</v>
      </c>
      <c r="O121">
        <v>48.73</v>
      </c>
    </row>
    <row r="122" spans="1:15">
      <c r="A122" t="s">
        <v>15</v>
      </c>
      <c r="B122" t="s">
        <v>16</v>
      </c>
      <c r="C122" s="1">
        <v>46133</v>
      </c>
      <c r="D122" s="2">
        <v>4344.5</v>
      </c>
      <c r="E122" s="2">
        <v>4335.8</v>
      </c>
      <c r="F122" s="2">
        <v>4403.7</v>
      </c>
      <c r="G122" s="2">
        <v>4335.5</v>
      </c>
      <c r="H122" s="2">
        <v>4353.3</v>
      </c>
      <c r="I122" s="2">
        <v>4358.3999999999996</v>
      </c>
      <c r="J122" s="2">
        <v>4371.42</v>
      </c>
      <c r="K122" s="3">
        <v>616910</v>
      </c>
      <c r="L122" s="2">
        <v>2696772676.4000001</v>
      </c>
      <c r="M122" s="3">
        <v>39163</v>
      </c>
      <c r="N122" s="3">
        <v>306096</v>
      </c>
      <c r="O122">
        <v>49.62</v>
      </c>
    </row>
    <row r="123" spans="1:15">
      <c r="A123" t="s">
        <v>15</v>
      </c>
      <c r="B123" t="s">
        <v>16</v>
      </c>
      <c r="C123" s="1">
        <v>46132</v>
      </c>
      <c r="D123" s="2">
        <v>4388.1000000000004</v>
      </c>
      <c r="E123" s="2">
        <v>4400</v>
      </c>
      <c r="F123" s="2">
        <v>4401.8999999999996</v>
      </c>
      <c r="G123" s="2">
        <v>4321.6000000000004</v>
      </c>
      <c r="H123" s="2">
        <v>4335.8</v>
      </c>
      <c r="I123" s="2">
        <v>4344.5</v>
      </c>
      <c r="J123" s="2">
        <v>4363.7700000000004</v>
      </c>
      <c r="K123" s="3">
        <v>898541</v>
      </c>
      <c r="L123" s="2">
        <v>3921023219</v>
      </c>
      <c r="M123" s="3">
        <v>53362</v>
      </c>
      <c r="N123" s="3">
        <v>425776</v>
      </c>
      <c r="O123">
        <v>47.39</v>
      </c>
    </row>
    <row r="124" spans="1:15">
      <c r="A124" t="s">
        <v>15</v>
      </c>
      <c r="B124" t="s">
        <v>16</v>
      </c>
      <c r="C124" s="1">
        <v>46129</v>
      </c>
      <c r="D124" s="2">
        <v>4363.3999999999996</v>
      </c>
      <c r="E124" s="2">
        <v>4380</v>
      </c>
      <c r="F124" s="2">
        <v>4399.3999999999996</v>
      </c>
      <c r="G124" s="2">
        <v>4346.6000000000004</v>
      </c>
      <c r="H124" s="2">
        <v>4381</v>
      </c>
      <c r="I124" s="2">
        <v>4388.1000000000004</v>
      </c>
      <c r="J124" s="2">
        <v>4377.83</v>
      </c>
      <c r="K124" s="3">
        <v>1038094</v>
      </c>
      <c r="L124" s="2">
        <v>4544601906.6999998</v>
      </c>
      <c r="M124" s="3">
        <v>69528</v>
      </c>
      <c r="N124" s="3">
        <v>445844</v>
      </c>
      <c r="O124">
        <v>42.95</v>
      </c>
    </row>
    <row r="125" spans="1:15">
      <c r="A125" t="s">
        <v>15</v>
      </c>
      <c r="B125" t="s">
        <v>16</v>
      </c>
      <c r="C125" s="1">
        <v>46128</v>
      </c>
      <c r="D125" s="2">
        <v>4239.2</v>
      </c>
      <c r="E125" s="2">
        <v>4284.8</v>
      </c>
      <c r="F125" s="2">
        <v>4388</v>
      </c>
      <c r="G125" s="2">
        <v>4280.2</v>
      </c>
      <c r="H125" s="2">
        <v>4371</v>
      </c>
      <c r="I125" s="2">
        <v>4363.3999999999996</v>
      </c>
      <c r="J125" s="2">
        <v>4337.4399999999996</v>
      </c>
      <c r="K125" s="3">
        <v>2251283</v>
      </c>
      <c r="L125" s="2">
        <v>9764797632.2999992</v>
      </c>
      <c r="M125" s="3">
        <v>108585</v>
      </c>
      <c r="N125" s="3">
        <v>716927</v>
      </c>
      <c r="O125">
        <v>31.85</v>
      </c>
    </row>
    <row r="126" spans="1:15">
      <c r="A126" t="s">
        <v>15</v>
      </c>
      <c r="B126" t="s">
        <v>16</v>
      </c>
      <c r="C126" s="1">
        <v>46127</v>
      </c>
      <c r="D126" s="2">
        <v>4099.8999999999996</v>
      </c>
      <c r="E126" s="2">
        <v>4160</v>
      </c>
      <c r="F126" s="2">
        <v>4242</v>
      </c>
      <c r="G126" s="2">
        <v>4147</v>
      </c>
      <c r="H126" s="2">
        <v>4240</v>
      </c>
      <c r="I126" s="2">
        <v>4239.2</v>
      </c>
      <c r="J126" s="2">
        <v>4207.74</v>
      </c>
      <c r="K126" s="3">
        <v>1400340</v>
      </c>
      <c r="L126" s="2">
        <v>5892262961.5</v>
      </c>
      <c r="M126" s="3">
        <v>81993</v>
      </c>
      <c r="N126" s="3">
        <v>685874</v>
      </c>
      <c r="O126">
        <v>48.98</v>
      </c>
    </row>
    <row r="127" spans="1:15">
      <c r="A127" t="s">
        <v>15</v>
      </c>
      <c r="B127" t="s">
        <v>16</v>
      </c>
      <c r="C127" s="1">
        <v>46125</v>
      </c>
      <c r="D127" s="2">
        <v>4112.2</v>
      </c>
      <c r="E127" s="2">
        <v>4039.9</v>
      </c>
      <c r="F127" s="2">
        <v>4119.5</v>
      </c>
      <c r="G127" s="2">
        <v>4013.3</v>
      </c>
      <c r="H127" s="2">
        <v>4105</v>
      </c>
      <c r="I127" s="2">
        <v>4099.8999999999996</v>
      </c>
      <c r="J127" s="2">
        <v>4087.62</v>
      </c>
      <c r="K127" s="3">
        <v>1090938</v>
      </c>
      <c r="L127" s="2">
        <v>4459336067.3000002</v>
      </c>
      <c r="M127" s="3">
        <v>67186</v>
      </c>
      <c r="N127" s="3">
        <v>420225</v>
      </c>
      <c r="O127">
        <v>38.520000000000003</v>
      </c>
    </row>
    <row r="128" spans="1:15">
      <c r="A128" t="s">
        <v>15</v>
      </c>
      <c r="B128" t="s">
        <v>16</v>
      </c>
      <c r="C128" s="1">
        <v>46122</v>
      </c>
      <c r="D128" s="2">
        <v>4032.9</v>
      </c>
      <c r="E128" s="2">
        <v>4068</v>
      </c>
      <c r="F128" s="2">
        <v>4138.6000000000004</v>
      </c>
      <c r="G128" s="2">
        <v>4063</v>
      </c>
      <c r="H128" s="2">
        <v>4107.1000000000004</v>
      </c>
      <c r="I128" s="2">
        <v>4112.2</v>
      </c>
      <c r="J128" s="2">
        <v>4105.08</v>
      </c>
      <c r="K128" s="3">
        <v>1281358</v>
      </c>
      <c r="L128" s="2">
        <v>5260080860</v>
      </c>
      <c r="M128" s="3">
        <v>75232</v>
      </c>
      <c r="N128" s="3">
        <v>632079</v>
      </c>
      <c r="O128">
        <v>49.33</v>
      </c>
    </row>
    <row r="129" spans="1:15">
      <c r="A129" t="s">
        <v>15</v>
      </c>
      <c r="B129" t="s">
        <v>16</v>
      </c>
      <c r="C129" s="1">
        <v>46121</v>
      </c>
      <c r="D129" s="2">
        <v>3907.5</v>
      </c>
      <c r="E129" s="2">
        <v>3900</v>
      </c>
      <c r="F129" s="2">
        <v>4109</v>
      </c>
      <c r="G129" s="2">
        <v>3882.3</v>
      </c>
      <c r="H129" s="2">
        <v>4030</v>
      </c>
      <c r="I129" s="2">
        <v>4032.9</v>
      </c>
      <c r="J129" s="2">
        <v>4038.42</v>
      </c>
      <c r="K129" s="3">
        <v>2791024</v>
      </c>
      <c r="L129" s="2">
        <v>11271324476.700001</v>
      </c>
      <c r="M129" s="3">
        <v>140198</v>
      </c>
      <c r="N129" s="3">
        <v>825417</v>
      </c>
      <c r="O129">
        <v>29.57</v>
      </c>
    </row>
    <row r="130" spans="1:15">
      <c r="A130" t="s">
        <v>15</v>
      </c>
      <c r="B130" t="s">
        <v>16</v>
      </c>
      <c r="C130" s="1">
        <v>46120</v>
      </c>
      <c r="D130" s="2">
        <v>3796.2</v>
      </c>
      <c r="E130" s="2">
        <v>3900</v>
      </c>
      <c r="F130" s="2">
        <v>3917</v>
      </c>
      <c r="G130" s="2">
        <v>3850</v>
      </c>
      <c r="H130" s="2">
        <v>3912</v>
      </c>
      <c r="I130" s="2">
        <v>3907.5</v>
      </c>
      <c r="J130" s="2">
        <v>3888.94</v>
      </c>
      <c r="K130" s="3">
        <v>1344611</v>
      </c>
      <c r="L130" s="2">
        <v>5229108947</v>
      </c>
      <c r="M130" s="3">
        <v>89354</v>
      </c>
      <c r="N130" s="3">
        <v>650274</v>
      </c>
      <c r="O130">
        <v>48.36</v>
      </c>
    </row>
    <row r="131" spans="1:15">
      <c r="A131" t="s">
        <v>15</v>
      </c>
      <c r="B131" t="s">
        <v>16</v>
      </c>
      <c r="C131" s="1">
        <v>46119</v>
      </c>
      <c r="D131" s="2">
        <v>3752.1</v>
      </c>
      <c r="E131" s="2">
        <v>3744.1</v>
      </c>
      <c r="F131" s="2">
        <v>3822</v>
      </c>
      <c r="G131" s="2">
        <v>3702.4</v>
      </c>
      <c r="H131" s="2">
        <v>3801</v>
      </c>
      <c r="I131" s="2">
        <v>3796.2</v>
      </c>
      <c r="J131" s="2">
        <v>3776.3</v>
      </c>
      <c r="K131" s="3">
        <v>1144328</v>
      </c>
      <c r="L131" s="2">
        <v>4321326690</v>
      </c>
      <c r="M131" s="3">
        <v>64744</v>
      </c>
      <c r="N131" s="3">
        <v>406679</v>
      </c>
      <c r="O131">
        <v>35.54</v>
      </c>
    </row>
    <row r="132" spans="1:15">
      <c r="A132" t="s">
        <v>15</v>
      </c>
      <c r="B132" t="s">
        <v>16</v>
      </c>
      <c r="C132" s="1">
        <v>46118</v>
      </c>
      <c r="D132" s="2">
        <v>3687</v>
      </c>
      <c r="E132" s="2">
        <v>3713.5</v>
      </c>
      <c r="F132" s="2">
        <v>3762.5</v>
      </c>
      <c r="G132" s="2">
        <v>3661</v>
      </c>
      <c r="H132" s="2">
        <v>3746</v>
      </c>
      <c r="I132" s="2">
        <v>3752.1</v>
      </c>
      <c r="J132" s="2">
        <v>3725.49</v>
      </c>
      <c r="K132" s="3">
        <v>1130371</v>
      </c>
      <c r="L132" s="2">
        <v>4211185053.4000001</v>
      </c>
      <c r="M132" s="3">
        <v>73544</v>
      </c>
      <c r="N132" s="3">
        <v>386239</v>
      </c>
      <c r="O132">
        <v>34.17</v>
      </c>
    </row>
    <row r="133" spans="1:15">
      <c r="A133" t="s">
        <v>15</v>
      </c>
      <c r="B133" t="s">
        <v>16</v>
      </c>
      <c r="C133" s="1">
        <v>46114</v>
      </c>
      <c r="D133" s="2">
        <v>3670.8</v>
      </c>
      <c r="E133" s="2">
        <v>3638.2</v>
      </c>
      <c r="F133" s="2">
        <v>3700.1</v>
      </c>
      <c r="G133" s="2">
        <v>3551</v>
      </c>
      <c r="H133" s="2">
        <v>3680.5</v>
      </c>
      <c r="I133" s="2">
        <v>3687</v>
      </c>
      <c r="J133" s="2">
        <v>3626.16</v>
      </c>
      <c r="K133" s="3">
        <v>1611009</v>
      </c>
      <c r="L133" s="2">
        <v>5841778900.3000002</v>
      </c>
      <c r="M133" s="3">
        <v>95056</v>
      </c>
      <c r="N133" s="3">
        <v>542808</v>
      </c>
      <c r="O133">
        <v>33.69</v>
      </c>
    </row>
    <row r="134" spans="1:15">
      <c r="A134" t="s">
        <v>15</v>
      </c>
      <c r="B134" t="s">
        <v>16</v>
      </c>
      <c r="C134" s="1">
        <v>46113</v>
      </c>
      <c r="D134" s="2">
        <v>3487.2</v>
      </c>
      <c r="E134" s="2">
        <v>3581.4</v>
      </c>
      <c r="F134" s="2">
        <v>3688.6</v>
      </c>
      <c r="G134" s="2">
        <v>3545</v>
      </c>
      <c r="H134" s="2">
        <v>3685</v>
      </c>
      <c r="I134" s="2">
        <v>3670.8</v>
      </c>
      <c r="J134" s="2">
        <v>3628.26</v>
      </c>
      <c r="K134" s="3">
        <v>2246768</v>
      </c>
      <c r="L134" s="2">
        <v>8151862123.6999998</v>
      </c>
      <c r="M134" s="3">
        <v>107811</v>
      </c>
      <c r="N134" s="3">
        <v>927812</v>
      </c>
      <c r="O134">
        <v>41.3</v>
      </c>
    </row>
    <row r="135" spans="1:15">
      <c r="A135" t="s">
        <v>15</v>
      </c>
      <c r="B135" t="s">
        <v>16</v>
      </c>
      <c r="C135" s="1">
        <v>46111</v>
      </c>
      <c r="D135" s="2">
        <v>3588.6</v>
      </c>
      <c r="E135" s="2">
        <v>3551</v>
      </c>
      <c r="F135" s="2">
        <v>3615.6</v>
      </c>
      <c r="G135" s="2">
        <v>3479.1</v>
      </c>
      <c r="H135" s="2">
        <v>3490</v>
      </c>
      <c r="I135" s="2">
        <v>3487.2</v>
      </c>
      <c r="J135" s="2">
        <v>3534.38</v>
      </c>
      <c r="K135" s="3">
        <v>2197252</v>
      </c>
      <c r="L135" s="2">
        <v>7765912766.6999998</v>
      </c>
      <c r="M135" s="3">
        <v>122686</v>
      </c>
      <c r="N135" s="3">
        <v>1029182</v>
      </c>
      <c r="O135">
        <v>46.84</v>
      </c>
    </row>
    <row r="136" spans="1:15">
      <c r="A136" t="s">
        <v>15</v>
      </c>
      <c r="B136" t="s">
        <v>16</v>
      </c>
      <c r="C136" s="1">
        <v>46108</v>
      </c>
      <c r="D136" s="2">
        <v>3669.4</v>
      </c>
      <c r="E136" s="2">
        <v>3665</v>
      </c>
      <c r="F136" s="2">
        <v>3665</v>
      </c>
      <c r="G136" s="2">
        <v>3576.1</v>
      </c>
      <c r="H136" s="2">
        <v>3585</v>
      </c>
      <c r="I136" s="2">
        <v>3588.6</v>
      </c>
      <c r="J136" s="2">
        <v>3602.26</v>
      </c>
      <c r="K136" s="3">
        <v>2286154</v>
      </c>
      <c r="L136" s="2">
        <v>8235326552.5</v>
      </c>
      <c r="M136" s="3">
        <v>124755</v>
      </c>
      <c r="N136" s="3">
        <v>1333662</v>
      </c>
      <c r="O136">
        <v>58.34</v>
      </c>
    </row>
    <row r="137" spans="1:15">
      <c r="A137" t="s">
        <v>15</v>
      </c>
      <c r="B137" t="s">
        <v>16</v>
      </c>
      <c r="C137" s="1">
        <v>46106</v>
      </c>
      <c r="D137" s="2">
        <v>3654</v>
      </c>
      <c r="E137" s="2">
        <v>3693</v>
      </c>
      <c r="F137" s="2">
        <v>3729.9</v>
      </c>
      <c r="G137" s="2">
        <v>3661</v>
      </c>
      <c r="H137" s="2">
        <v>3669</v>
      </c>
      <c r="I137" s="2">
        <v>3669.4</v>
      </c>
      <c r="J137" s="2">
        <v>3694.61</v>
      </c>
      <c r="K137" s="3">
        <v>1052741</v>
      </c>
      <c r="L137" s="2">
        <v>3889472365</v>
      </c>
      <c r="M137" s="3">
        <v>87957</v>
      </c>
      <c r="N137" s="3">
        <v>515081</v>
      </c>
      <c r="O137">
        <v>48.93</v>
      </c>
    </row>
    <row r="138" spans="1:15">
      <c r="A138" t="s">
        <v>15</v>
      </c>
      <c r="B138" t="s">
        <v>16</v>
      </c>
      <c r="C138" s="1">
        <v>46105</v>
      </c>
      <c r="D138" s="2">
        <v>3634.6</v>
      </c>
      <c r="E138" s="2">
        <v>3700</v>
      </c>
      <c r="F138" s="2">
        <v>3723.3</v>
      </c>
      <c r="G138" s="2">
        <v>3620.7</v>
      </c>
      <c r="H138" s="2">
        <v>3656.3</v>
      </c>
      <c r="I138" s="2">
        <v>3654</v>
      </c>
      <c r="J138" s="2">
        <v>3665.52</v>
      </c>
      <c r="K138" s="3">
        <v>1309461</v>
      </c>
      <c r="L138" s="2">
        <v>4799853418.6000004</v>
      </c>
      <c r="M138" s="3">
        <v>79605</v>
      </c>
      <c r="N138" s="3">
        <v>596424</v>
      </c>
      <c r="O138">
        <v>45.55</v>
      </c>
    </row>
    <row r="139" spans="1:15">
      <c r="A139" t="s">
        <v>15</v>
      </c>
      <c r="B139" t="s">
        <v>16</v>
      </c>
      <c r="C139" s="1">
        <v>46104</v>
      </c>
      <c r="D139" s="2">
        <v>3782.4</v>
      </c>
      <c r="E139" s="2">
        <v>3760.6</v>
      </c>
      <c r="F139" s="2">
        <v>3762.8</v>
      </c>
      <c r="G139" s="2">
        <v>3610</v>
      </c>
      <c r="H139" s="2">
        <v>3622</v>
      </c>
      <c r="I139" s="2">
        <v>3634.6</v>
      </c>
      <c r="J139" s="2">
        <v>3648.55</v>
      </c>
      <c r="K139" s="3">
        <v>1797092</v>
      </c>
      <c r="L139" s="2">
        <v>6556774637.6999998</v>
      </c>
      <c r="M139" s="3">
        <v>108300</v>
      </c>
      <c r="N139" s="3">
        <v>902350</v>
      </c>
      <c r="O139">
        <v>50.21</v>
      </c>
    </row>
    <row r="140" spans="1:15">
      <c r="A140" t="s">
        <v>15</v>
      </c>
      <c r="B140" t="s">
        <v>16</v>
      </c>
      <c r="C140" s="1">
        <v>46101</v>
      </c>
      <c r="D140" s="2">
        <v>3802.5</v>
      </c>
      <c r="E140" s="2">
        <v>3826</v>
      </c>
      <c r="F140" s="2">
        <v>3882</v>
      </c>
      <c r="G140" s="2">
        <v>3776.6</v>
      </c>
      <c r="H140" s="2">
        <v>3785</v>
      </c>
      <c r="I140" s="2">
        <v>3782.4</v>
      </c>
      <c r="J140" s="2">
        <v>3819.32</v>
      </c>
      <c r="K140" s="3">
        <v>1047650</v>
      </c>
      <c r="L140" s="2">
        <v>4001307832.9000001</v>
      </c>
      <c r="M140" s="3">
        <v>71939</v>
      </c>
      <c r="N140" s="3">
        <v>487853</v>
      </c>
      <c r="O140">
        <v>46.57</v>
      </c>
    </row>
    <row r="141" spans="1:15">
      <c r="A141" t="s">
        <v>15</v>
      </c>
      <c r="B141" t="s">
        <v>16</v>
      </c>
      <c r="C141" s="1">
        <v>46100</v>
      </c>
      <c r="D141" s="2">
        <v>3961.6</v>
      </c>
      <c r="E141" s="2">
        <v>3930</v>
      </c>
      <c r="F141" s="2">
        <v>3930</v>
      </c>
      <c r="G141" s="2">
        <v>3786</v>
      </c>
      <c r="H141" s="2">
        <v>3812.9</v>
      </c>
      <c r="I141" s="2">
        <v>3802.5</v>
      </c>
      <c r="J141" s="2">
        <v>3854.2</v>
      </c>
      <c r="K141" s="3">
        <v>1014937</v>
      </c>
      <c r="L141" s="2">
        <v>3911773478.3000002</v>
      </c>
      <c r="M141" s="3">
        <v>81627</v>
      </c>
      <c r="N141" s="3">
        <v>421344</v>
      </c>
      <c r="O141">
        <v>41.51</v>
      </c>
    </row>
    <row r="142" spans="1:15">
      <c r="A142" t="s">
        <v>15</v>
      </c>
      <c r="B142" t="s">
        <v>16</v>
      </c>
      <c r="C142" s="1">
        <v>46099</v>
      </c>
      <c r="D142" s="2">
        <v>3963.1</v>
      </c>
      <c r="E142" s="2">
        <v>3973</v>
      </c>
      <c r="F142" s="2">
        <v>3991.6</v>
      </c>
      <c r="G142" s="2">
        <v>3945</v>
      </c>
      <c r="H142" s="2">
        <v>3955.9</v>
      </c>
      <c r="I142" s="2">
        <v>3961.6</v>
      </c>
      <c r="J142" s="2">
        <v>3961.04</v>
      </c>
      <c r="K142" s="3">
        <v>828634</v>
      </c>
      <c r="L142" s="2">
        <v>3282250609.5999999</v>
      </c>
      <c r="M142" s="3">
        <v>54406</v>
      </c>
      <c r="N142" s="3">
        <v>351644</v>
      </c>
      <c r="O142">
        <v>42.44</v>
      </c>
    </row>
    <row r="143" spans="1:15">
      <c r="A143" t="s">
        <v>15</v>
      </c>
      <c r="B143" t="s">
        <v>16</v>
      </c>
      <c r="C143" s="1">
        <v>46098</v>
      </c>
      <c r="D143" s="2">
        <v>3913.1</v>
      </c>
      <c r="E143" s="2">
        <v>3919.7</v>
      </c>
      <c r="F143" s="2">
        <v>3971.9</v>
      </c>
      <c r="G143" s="2">
        <v>3892.5</v>
      </c>
      <c r="H143" s="2">
        <v>3950</v>
      </c>
      <c r="I143" s="2">
        <v>3963.1</v>
      </c>
      <c r="J143" s="2">
        <v>3941.7</v>
      </c>
      <c r="K143" s="3">
        <v>992982</v>
      </c>
      <c r="L143" s="2">
        <v>3914039429.9000001</v>
      </c>
      <c r="M143" s="3">
        <v>58361</v>
      </c>
      <c r="N143" s="3">
        <v>463397</v>
      </c>
      <c r="O143">
        <v>46.67</v>
      </c>
    </row>
    <row r="144" spans="1:15">
      <c r="A144" t="s">
        <v>15</v>
      </c>
      <c r="B144" t="s">
        <v>16</v>
      </c>
      <c r="C144" s="1">
        <v>46097</v>
      </c>
      <c r="D144" s="2">
        <v>3914.4</v>
      </c>
      <c r="E144" s="2">
        <v>3914.4</v>
      </c>
      <c r="F144" s="2">
        <v>3938.8</v>
      </c>
      <c r="G144" s="2">
        <v>3843</v>
      </c>
      <c r="H144" s="2">
        <v>3907</v>
      </c>
      <c r="I144" s="2">
        <v>3913.1</v>
      </c>
      <c r="J144" s="2">
        <v>3896.99</v>
      </c>
      <c r="K144" s="3">
        <v>1379003</v>
      </c>
      <c r="L144" s="2">
        <v>5373959882.6000004</v>
      </c>
      <c r="M144" s="3">
        <v>82496</v>
      </c>
      <c r="N144" s="3">
        <v>686407</v>
      </c>
      <c r="O144">
        <v>49.78</v>
      </c>
    </row>
    <row r="145" spans="1:15">
      <c r="A145" t="s">
        <v>15</v>
      </c>
      <c r="B145" t="s">
        <v>16</v>
      </c>
      <c r="C145" s="1">
        <v>46094</v>
      </c>
      <c r="D145" s="2">
        <v>4013.5</v>
      </c>
      <c r="E145" s="2">
        <v>4000</v>
      </c>
      <c r="F145" s="2">
        <v>4004.1</v>
      </c>
      <c r="G145" s="2">
        <v>3892.4</v>
      </c>
      <c r="H145" s="2">
        <v>3912</v>
      </c>
      <c r="I145" s="2">
        <v>3914.4</v>
      </c>
      <c r="J145" s="2">
        <v>3926.2</v>
      </c>
      <c r="K145" s="3">
        <v>2113945</v>
      </c>
      <c r="L145" s="2">
        <v>8299770362</v>
      </c>
      <c r="M145" s="3">
        <v>81615</v>
      </c>
      <c r="N145" s="3">
        <v>1279285</v>
      </c>
      <c r="O145">
        <v>60.52</v>
      </c>
    </row>
    <row r="146" spans="1:15">
      <c r="A146" t="s">
        <v>15</v>
      </c>
      <c r="B146" t="s">
        <v>16</v>
      </c>
      <c r="C146" s="1">
        <v>46093</v>
      </c>
      <c r="D146" s="2">
        <v>4005.1</v>
      </c>
      <c r="E146" s="2">
        <v>3955</v>
      </c>
      <c r="F146" s="2">
        <v>4033.2</v>
      </c>
      <c r="G146" s="2">
        <v>3940.8</v>
      </c>
      <c r="H146" s="2">
        <v>4008.6</v>
      </c>
      <c r="I146" s="2">
        <v>4013.5</v>
      </c>
      <c r="J146" s="2">
        <v>3994.05</v>
      </c>
      <c r="K146" s="3">
        <v>961224</v>
      </c>
      <c r="L146" s="2">
        <v>3839177324.3000002</v>
      </c>
      <c r="M146" s="3">
        <v>72833</v>
      </c>
      <c r="N146" s="3">
        <v>386507</v>
      </c>
      <c r="O146">
        <v>40.21</v>
      </c>
    </row>
    <row r="147" spans="1:15">
      <c r="A147" t="s">
        <v>15</v>
      </c>
      <c r="B147" t="s">
        <v>16</v>
      </c>
      <c r="C147" s="1">
        <v>46092</v>
      </c>
      <c r="D147" s="2">
        <v>4040.1</v>
      </c>
      <c r="E147" s="2">
        <v>4040</v>
      </c>
      <c r="F147" s="2">
        <v>4103.8</v>
      </c>
      <c r="G147" s="2">
        <v>3976.2</v>
      </c>
      <c r="H147" s="2">
        <v>3995</v>
      </c>
      <c r="I147" s="2">
        <v>4005.1</v>
      </c>
      <c r="J147" s="2">
        <v>4022.51</v>
      </c>
      <c r="K147" s="3">
        <v>1668004</v>
      </c>
      <c r="L147" s="2">
        <v>6709562528.6999998</v>
      </c>
      <c r="M147" s="3">
        <v>82466</v>
      </c>
      <c r="N147" s="3">
        <v>900493</v>
      </c>
      <c r="O147">
        <v>53.99</v>
      </c>
    </row>
    <row r="148" spans="1:15">
      <c r="A148" t="s">
        <v>15</v>
      </c>
      <c r="B148" t="s">
        <v>16</v>
      </c>
      <c r="C148" s="1">
        <v>46091</v>
      </c>
      <c r="D148" s="2">
        <v>3989.9</v>
      </c>
      <c r="E148" s="2">
        <v>4025</v>
      </c>
      <c r="F148" s="2">
        <v>4063</v>
      </c>
      <c r="G148" s="2">
        <v>3918</v>
      </c>
      <c r="H148" s="2">
        <v>4050.1</v>
      </c>
      <c r="I148" s="2">
        <v>4040.1</v>
      </c>
      <c r="J148" s="2">
        <v>3992.68</v>
      </c>
      <c r="K148" s="3">
        <v>1609432</v>
      </c>
      <c r="L148" s="2">
        <v>6425941012.8000002</v>
      </c>
      <c r="M148" s="3">
        <v>96569</v>
      </c>
      <c r="N148" s="3">
        <v>629481</v>
      </c>
      <c r="O148">
        <v>39.11</v>
      </c>
    </row>
    <row r="149" spans="1:15">
      <c r="A149" t="s">
        <v>15</v>
      </c>
      <c r="B149" t="s">
        <v>16</v>
      </c>
      <c r="C149" s="1">
        <v>46090</v>
      </c>
      <c r="D149" s="2">
        <v>4023.7</v>
      </c>
      <c r="E149" s="2">
        <v>4023.7</v>
      </c>
      <c r="F149" s="2">
        <v>4023.7</v>
      </c>
      <c r="G149" s="2">
        <v>3925</v>
      </c>
      <c r="H149" s="2">
        <v>3987</v>
      </c>
      <c r="I149" s="2">
        <v>3989.9</v>
      </c>
      <c r="J149" s="2">
        <v>3978.79</v>
      </c>
      <c r="K149" s="3">
        <v>1540560</v>
      </c>
      <c r="L149" s="2">
        <v>6129558266.8000002</v>
      </c>
      <c r="M149" s="3">
        <v>90960</v>
      </c>
      <c r="N149" s="3">
        <v>627407</v>
      </c>
      <c r="O149">
        <v>40.729999999999997</v>
      </c>
    </row>
    <row r="150" spans="1:15">
      <c r="A150" t="s">
        <v>15</v>
      </c>
      <c r="B150" t="s">
        <v>16</v>
      </c>
      <c r="C150" s="1">
        <v>46087</v>
      </c>
      <c r="D150" s="2">
        <v>3891.8</v>
      </c>
      <c r="E150" s="2">
        <v>3880</v>
      </c>
      <c r="F150" s="2">
        <v>4039.7</v>
      </c>
      <c r="G150" s="2">
        <v>3855</v>
      </c>
      <c r="H150" s="2">
        <v>4030</v>
      </c>
      <c r="I150" s="2">
        <v>4023.7</v>
      </c>
      <c r="J150" s="2">
        <v>3969.71</v>
      </c>
      <c r="K150" s="3">
        <v>2974581</v>
      </c>
      <c r="L150" s="2">
        <v>11808214585.200001</v>
      </c>
      <c r="M150" s="3">
        <v>134091</v>
      </c>
      <c r="N150" s="3">
        <v>1331260</v>
      </c>
      <c r="O150">
        <v>44.75</v>
      </c>
    </row>
    <row r="151" spans="1:15">
      <c r="A151" t="s">
        <v>15</v>
      </c>
      <c r="B151" t="s">
        <v>16</v>
      </c>
      <c r="C151" s="1">
        <v>46086</v>
      </c>
      <c r="D151" s="2">
        <v>3876.8</v>
      </c>
      <c r="E151" s="2">
        <v>3870</v>
      </c>
      <c r="F151" s="2">
        <v>3949</v>
      </c>
      <c r="G151" s="2">
        <v>3840.9</v>
      </c>
      <c r="H151" s="2">
        <v>3894.9</v>
      </c>
      <c r="I151" s="2">
        <v>3891.8</v>
      </c>
      <c r="J151" s="2">
        <v>3891.63</v>
      </c>
      <c r="K151" s="3">
        <v>2469764</v>
      </c>
      <c r="L151" s="2">
        <v>9611404765.1000004</v>
      </c>
      <c r="M151" s="3">
        <v>115025</v>
      </c>
      <c r="N151" s="3">
        <v>1144373</v>
      </c>
      <c r="O151">
        <v>46.34</v>
      </c>
    </row>
    <row r="152" spans="1:15">
      <c r="A152" t="s">
        <v>15</v>
      </c>
      <c r="B152" t="s">
        <v>16</v>
      </c>
      <c r="C152" s="1">
        <v>46085</v>
      </c>
      <c r="D152" s="2">
        <v>3951.6</v>
      </c>
      <c r="E152" s="2">
        <v>3971.3</v>
      </c>
      <c r="F152" s="2">
        <v>3974</v>
      </c>
      <c r="G152" s="2">
        <v>3858.7</v>
      </c>
      <c r="H152" s="2">
        <v>3865.8</v>
      </c>
      <c r="I152" s="2">
        <v>3876.8</v>
      </c>
      <c r="J152" s="2">
        <v>3894.19</v>
      </c>
      <c r="K152" s="3">
        <v>2521796</v>
      </c>
      <c r="L152" s="2">
        <v>9820351717</v>
      </c>
      <c r="M152" s="3">
        <v>114930</v>
      </c>
      <c r="N152" s="3">
        <v>1274269</v>
      </c>
      <c r="O152">
        <v>50.53</v>
      </c>
    </row>
    <row r="153" spans="1:15">
      <c r="A153" t="s">
        <v>15</v>
      </c>
      <c r="B153" t="s">
        <v>16</v>
      </c>
      <c r="C153" s="1">
        <v>46083</v>
      </c>
      <c r="D153" s="2">
        <v>3913.2</v>
      </c>
      <c r="E153" s="2">
        <v>3837</v>
      </c>
      <c r="F153" s="2">
        <v>3983</v>
      </c>
      <c r="G153" s="2">
        <v>3825.5</v>
      </c>
      <c r="H153" s="2">
        <v>3956.9</v>
      </c>
      <c r="I153" s="2">
        <v>3951.6</v>
      </c>
      <c r="J153" s="2">
        <v>3943.97</v>
      </c>
      <c r="K153" s="3">
        <v>3263290</v>
      </c>
      <c r="L153" s="2">
        <v>12870303470</v>
      </c>
      <c r="M153" s="3">
        <v>110771</v>
      </c>
      <c r="N153" s="3">
        <v>2080259</v>
      </c>
      <c r="O153">
        <v>63.75</v>
      </c>
    </row>
    <row r="154" spans="1:15">
      <c r="A154" t="s">
        <v>15</v>
      </c>
      <c r="B154" t="s">
        <v>16</v>
      </c>
      <c r="C154" s="1">
        <v>46080</v>
      </c>
      <c r="D154" s="2">
        <v>4008.9</v>
      </c>
      <c r="E154" s="2">
        <v>4001</v>
      </c>
      <c r="F154" s="2">
        <v>4001</v>
      </c>
      <c r="G154" s="2">
        <v>3900</v>
      </c>
      <c r="H154" s="2">
        <v>3910.8</v>
      </c>
      <c r="I154" s="2">
        <v>3913.2</v>
      </c>
      <c r="J154" s="2">
        <v>3942.61</v>
      </c>
      <c r="K154" s="3">
        <v>2191138</v>
      </c>
      <c r="L154" s="2">
        <v>8638811121.6000004</v>
      </c>
      <c r="M154" s="3">
        <v>93387</v>
      </c>
      <c r="N154" s="3">
        <v>1442946</v>
      </c>
      <c r="O154">
        <v>65.849999999999994</v>
      </c>
    </row>
    <row r="155" spans="1:15">
      <c r="A155" t="s">
        <v>15</v>
      </c>
      <c r="B155" t="s">
        <v>16</v>
      </c>
      <c r="C155" s="1">
        <v>46079</v>
      </c>
      <c r="D155" s="2">
        <v>3985</v>
      </c>
      <c r="E155" s="2">
        <v>4000</v>
      </c>
      <c r="F155" s="2">
        <v>4018</v>
      </c>
      <c r="G155" s="2">
        <v>3985</v>
      </c>
      <c r="H155" s="2">
        <v>4005</v>
      </c>
      <c r="I155" s="2">
        <v>4008.9</v>
      </c>
      <c r="J155" s="2">
        <v>4003.87</v>
      </c>
      <c r="K155" s="3">
        <v>1423043</v>
      </c>
      <c r="L155" s="2">
        <v>5697672383.8999996</v>
      </c>
      <c r="M155" s="3">
        <v>64010</v>
      </c>
      <c r="N155" s="3">
        <v>891169</v>
      </c>
      <c r="O155">
        <v>62.62</v>
      </c>
    </row>
    <row r="156" spans="1:15">
      <c r="A156" t="s">
        <v>15</v>
      </c>
      <c r="B156" t="s">
        <v>16</v>
      </c>
      <c r="C156" s="1">
        <v>46078</v>
      </c>
      <c r="D156" s="2">
        <v>3952.6</v>
      </c>
      <c r="E156" s="2">
        <v>3970</v>
      </c>
      <c r="F156" s="2">
        <v>4004</v>
      </c>
      <c r="G156" s="2">
        <v>3957.6</v>
      </c>
      <c r="H156" s="2">
        <v>3985</v>
      </c>
      <c r="I156" s="2">
        <v>3985</v>
      </c>
      <c r="J156" s="2">
        <v>3983.85</v>
      </c>
      <c r="K156" s="3">
        <v>1239941</v>
      </c>
      <c r="L156" s="2">
        <v>4939742375.6000004</v>
      </c>
      <c r="M156" s="3">
        <v>62041</v>
      </c>
      <c r="N156" s="3">
        <v>576865</v>
      </c>
      <c r="O156">
        <v>46.52</v>
      </c>
    </row>
    <row r="157" spans="1:15">
      <c r="A157" t="s">
        <v>15</v>
      </c>
      <c r="B157" t="s">
        <v>16</v>
      </c>
      <c r="C157" s="1">
        <v>46077</v>
      </c>
      <c r="D157" s="2">
        <v>4025.4</v>
      </c>
      <c r="E157" s="2">
        <v>4005</v>
      </c>
      <c r="F157" s="2">
        <v>4032.4</v>
      </c>
      <c r="G157" s="2">
        <v>3937.1</v>
      </c>
      <c r="H157" s="2">
        <v>3953</v>
      </c>
      <c r="I157" s="2">
        <v>3952.6</v>
      </c>
      <c r="J157" s="2">
        <v>3972.39</v>
      </c>
      <c r="K157" s="3">
        <v>1605651</v>
      </c>
      <c r="L157" s="2">
        <v>6378266130.3999996</v>
      </c>
      <c r="M157" s="3">
        <v>100642</v>
      </c>
      <c r="N157" s="3">
        <v>764811</v>
      </c>
      <c r="O157">
        <v>47.63</v>
      </c>
    </row>
    <row r="158" spans="1:15">
      <c r="A158" t="s">
        <v>15</v>
      </c>
      <c r="B158" t="s">
        <v>16</v>
      </c>
      <c r="C158" s="1">
        <v>46076</v>
      </c>
      <c r="D158" s="2">
        <v>4170</v>
      </c>
      <c r="E158" s="2">
        <v>4150</v>
      </c>
      <c r="F158" s="2">
        <v>4150</v>
      </c>
      <c r="G158" s="2">
        <v>3976</v>
      </c>
      <c r="H158" s="2">
        <v>4025</v>
      </c>
      <c r="I158" s="2">
        <v>4025.4</v>
      </c>
      <c r="J158" s="2">
        <v>4039.46</v>
      </c>
      <c r="K158" s="3">
        <v>3750121</v>
      </c>
      <c r="L158" s="2">
        <v>15148471331.299999</v>
      </c>
      <c r="M158" s="3">
        <v>220332</v>
      </c>
      <c r="N158" s="3">
        <v>1363711</v>
      </c>
      <c r="O158">
        <v>36.36</v>
      </c>
    </row>
    <row r="159" spans="1:15">
      <c r="A159" t="s">
        <v>15</v>
      </c>
      <c r="B159" t="s">
        <v>16</v>
      </c>
      <c r="C159" s="1">
        <v>46073</v>
      </c>
      <c r="D159" s="2">
        <v>4132.6000000000004</v>
      </c>
      <c r="E159" s="2">
        <v>4129.8</v>
      </c>
      <c r="F159" s="2">
        <v>4213.5</v>
      </c>
      <c r="G159" s="2">
        <v>4121.2</v>
      </c>
      <c r="H159" s="2">
        <v>4166</v>
      </c>
      <c r="I159" s="2">
        <v>4170</v>
      </c>
      <c r="J159" s="2">
        <v>4183.76</v>
      </c>
      <c r="K159" s="3">
        <v>960630</v>
      </c>
      <c r="L159" s="2">
        <v>4019047579.3000002</v>
      </c>
      <c r="M159" s="3">
        <v>49865</v>
      </c>
      <c r="N159" s="3">
        <v>333675</v>
      </c>
      <c r="O159">
        <v>34.74</v>
      </c>
    </row>
    <row r="160" spans="1:15">
      <c r="A160" t="s">
        <v>15</v>
      </c>
      <c r="B160" t="s">
        <v>16</v>
      </c>
      <c r="C160" s="1">
        <v>46072</v>
      </c>
      <c r="D160" s="2">
        <v>4251.1000000000004</v>
      </c>
      <c r="E160" s="2">
        <v>4244.1000000000004</v>
      </c>
      <c r="F160" s="2">
        <v>4271</v>
      </c>
      <c r="G160" s="2">
        <v>4101.6000000000004</v>
      </c>
      <c r="H160" s="2">
        <v>4120</v>
      </c>
      <c r="I160" s="2">
        <v>4132.6000000000004</v>
      </c>
      <c r="J160" s="2">
        <v>4177.72</v>
      </c>
      <c r="K160" s="3">
        <v>1020581</v>
      </c>
      <c r="L160" s="2">
        <v>4263697066.5</v>
      </c>
      <c r="M160" s="3">
        <v>54416</v>
      </c>
      <c r="N160" s="3">
        <v>440320</v>
      </c>
      <c r="O160">
        <v>43.14</v>
      </c>
    </row>
    <row r="161" spans="1:15">
      <c r="A161" t="s">
        <v>15</v>
      </c>
      <c r="B161" t="s">
        <v>16</v>
      </c>
      <c r="C161" s="1">
        <v>46071</v>
      </c>
      <c r="D161" s="2">
        <v>4247.6000000000004</v>
      </c>
      <c r="E161" s="2">
        <v>4235</v>
      </c>
      <c r="F161" s="2">
        <v>4267.5</v>
      </c>
      <c r="G161" s="2">
        <v>4182.1000000000004</v>
      </c>
      <c r="H161" s="2">
        <v>4247.6000000000004</v>
      </c>
      <c r="I161" s="2">
        <v>4251.1000000000004</v>
      </c>
      <c r="J161" s="2">
        <v>4227.83</v>
      </c>
      <c r="K161" s="3">
        <v>821047</v>
      </c>
      <c r="L161" s="2">
        <v>3471250016.8000002</v>
      </c>
      <c r="M161" s="3">
        <v>51763</v>
      </c>
      <c r="N161" s="3">
        <v>309511</v>
      </c>
      <c r="O161">
        <v>37.700000000000003</v>
      </c>
    </row>
    <row r="162" spans="1:15">
      <c r="A162" t="s">
        <v>15</v>
      </c>
      <c r="B162" t="s">
        <v>16</v>
      </c>
      <c r="C162" s="1">
        <v>46070</v>
      </c>
      <c r="D162" s="2">
        <v>4226.1000000000004</v>
      </c>
      <c r="E162" s="2">
        <v>4230</v>
      </c>
      <c r="F162" s="2">
        <v>4296</v>
      </c>
      <c r="G162" s="2">
        <v>4222.3999999999996</v>
      </c>
      <c r="H162" s="2">
        <v>4240</v>
      </c>
      <c r="I162" s="2">
        <v>4247.6000000000004</v>
      </c>
      <c r="J162" s="2">
        <v>4258.6899999999996</v>
      </c>
      <c r="K162" s="3">
        <v>1033811</v>
      </c>
      <c r="L162" s="2">
        <v>4402679415.8999996</v>
      </c>
      <c r="M162" s="3">
        <v>51586</v>
      </c>
      <c r="N162" s="3">
        <v>353999</v>
      </c>
      <c r="O162">
        <v>34.24</v>
      </c>
    </row>
    <row r="163" spans="1:15">
      <c r="A163" t="s">
        <v>15</v>
      </c>
      <c r="B163" t="s">
        <v>16</v>
      </c>
      <c r="C163" s="1">
        <v>46069</v>
      </c>
      <c r="D163" s="2">
        <v>4212.3999999999996</v>
      </c>
      <c r="E163" s="2">
        <v>4228.7</v>
      </c>
      <c r="F163" s="2">
        <v>4235.5</v>
      </c>
      <c r="G163" s="2">
        <v>4170</v>
      </c>
      <c r="H163" s="2">
        <v>4221</v>
      </c>
      <c r="I163" s="2">
        <v>4226.1000000000004</v>
      </c>
      <c r="J163" s="2">
        <v>4199.74</v>
      </c>
      <c r="K163" s="3">
        <v>1126991</v>
      </c>
      <c r="L163" s="2">
        <v>4733067730.1999998</v>
      </c>
      <c r="M163" s="3">
        <v>55099</v>
      </c>
      <c r="N163" s="3">
        <v>421762</v>
      </c>
      <c r="O163">
        <v>37.42</v>
      </c>
    </row>
    <row r="164" spans="1:15">
      <c r="A164" t="s">
        <v>15</v>
      </c>
      <c r="B164" t="s">
        <v>16</v>
      </c>
      <c r="C164" s="1">
        <v>46066</v>
      </c>
      <c r="D164" s="2">
        <v>4158.8999999999996</v>
      </c>
      <c r="E164" s="2">
        <v>4189</v>
      </c>
      <c r="F164" s="2">
        <v>4263.5</v>
      </c>
      <c r="G164" s="2">
        <v>4155.8</v>
      </c>
      <c r="H164" s="2">
        <v>4206</v>
      </c>
      <c r="I164" s="2">
        <v>4212.3999999999996</v>
      </c>
      <c r="J164" s="2">
        <v>4217.55</v>
      </c>
      <c r="K164" s="3">
        <v>3532180</v>
      </c>
      <c r="L164" s="2">
        <v>14897143503.299999</v>
      </c>
      <c r="M164" s="3">
        <v>177467</v>
      </c>
      <c r="N164" s="3">
        <v>894010</v>
      </c>
      <c r="O164">
        <v>25.31</v>
      </c>
    </row>
    <row r="165" spans="1:15">
      <c r="A165" t="s">
        <v>15</v>
      </c>
      <c r="B165" t="s">
        <v>16</v>
      </c>
      <c r="C165" s="1">
        <v>46065</v>
      </c>
      <c r="D165" s="2">
        <v>4133</v>
      </c>
      <c r="E165" s="2">
        <v>4136.7</v>
      </c>
      <c r="F165" s="2">
        <v>4189.8</v>
      </c>
      <c r="G165" s="2">
        <v>4083.2</v>
      </c>
      <c r="H165" s="2">
        <v>4178.8</v>
      </c>
      <c r="I165" s="2">
        <v>4158.8999999999996</v>
      </c>
      <c r="J165" s="2">
        <v>4134.95</v>
      </c>
      <c r="K165" s="3">
        <v>2759493</v>
      </c>
      <c r="L165" s="2">
        <v>11410366803</v>
      </c>
      <c r="M165" s="3">
        <v>148759</v>
      </c>
      <c r="N165" s="3">
        <v>778846</v>
      </c>
      <c r="O165">
        <v>28.22</v>
      </c>
    </row>
    <row r="166" spans="1:15">
      <c r="A166" t="s">
        <v>15</v>
      </c>
      <c r="B166" t="s">
        <v>16</v>
      </c>
      <c r="C166" s="1">
        <v>46064</v>
      </c>
      <c r="D166" s="2">
        <v>4168.3</v>
      </c>
      <c r="E166" s="2">
        <v>4195.8999999999996</v>
      </c>
      <c r="F166" s="2">
        <v>4195.8999999999996</v>
      </c>
      <c r="G166" s="2">
        <v>4107</v>
      </c>
      <c r="H166" s="2">
        <v>4124</v>
      </c>
      <c r="I166" s="2">
        <v>4133</v>
      </c>
      <c r="J166" s="2">
        <v>4124.74</v>
      </c>
      <c r="K166" s="3">
        <v>916944</v>
      </c>
      <c r="L166" s="2">
        <v>3782156112.4000001</v>
      </c>
      <c r="M166" s="3">
        <v>57970</v>
      </c>
      <c r="N166" s="3">
        <v>366386</v>
      </c>
      <c r="O166">
        <v>39.96</v>
      </c>
    </row>
    <row r="167" spans="1:15">
      <c r="A167" t="s">
        <v>15</v>
      </c>
      <c r="B167" t="s">
        <v>16</v>
      </c>
      <c r="C167" s="1">
        <v>46063</v>
      </c>
      <c r="D167" s="2">
        <v>4131</v>
      </c>
      <c r="E167" s="2">
        <v>4151</v>
      </c>
      <c r="F167" s="2">
        <v>4189.8</v>
      </c>
      <c r="G167" s="2">
        <v>4137.2</v>
      </c>
      <c r="H167" s="2">
        <v>4151</v>
      </c>
      <c r="I167" s="2">
        <v>4168.3</v>
      </c>
      <c r="J167" s="2">
        <v>4165.51</v>
      </c>
      <c r="K167" s="3">
        <v>1000376</v>
      </c>
      <c r="L167" s="2">
        <v>4167071929.0999999</v>
      </c>
      <c r="M167" s="3">
        <v>56607</v>
      </c>
      <c r="N167" s="3">
        <v>428138</v>
      </c>
      <c r="O167">
        <v>42.8</v>
      </c>
    </row>
    <row r="168" spans="1:15">
      <c r="A168" t="s">
        <v>15</v>
      </c>
      <c r="B168" t="s">
        <v>16</v>
      </c>
      <c r="C168" s="1">
        <v>46062</v>
      </c>
      <c r="D168" s="2">
        <v>4067.5</v>
      </c>
      <c r="E168" s="2">
        <v>4066.1</v>
      </c>
      <c r="F168" s="2">
        <v>4151</v>
      </c>
      <c r="G168" s="2">
        <v>4014.1</v>
      </c>
      <c r="H168" s="2">
        <v>4151</v>
      </c>
      <c r="I168" s="2">
        <v>4131</v>
      </c>
      <c r="J168" s="2">
        <v>4097.8999999999996</v>
      </c>
      <c r="K168" s="3">
        <v>1664057</v>
      </c>
      <c r="L168" s="2">
        <v>6819144258.6000004</v>
      </c>
      <c r="M168" s="3">
        <v>99527</v>
      </c>
      <c r="N168" s="3">
        <v>603747</v>
      </c>
      <c r="O168">
        <v>36.28</v>
      </c>
    </row>
    <row r="169" spans="1:15">
      <c r="A169" t="s">
        <v>15</v>
      </c>
      <c r="B169" t="s">
        <v>16</v>
      </c>
      <c r="C169" s="1">
        <v>46059</v>
      </c>
      <c r="D169" s="2">
        <v>4035.5</v>
      </c>
      <c r="E169" s="2">
        <v>4030</v>
      </c>
      <c r="F169" s="2">
        <v>4074</v>
      </c>
      <c r="G169" s="2">
        <v>3985</v>
      </c>
      <c r="H169" s="2">
        <v>4066</v>
      </c>
      <c r="I169" s="2">
        <v>4067.5</v>
      </c>
      <c r="J169" s="2">
        <v>4035.05</v>
      </c>
      <c r="K169" s="3">
        <v>2094080</v>
      </c>
      <c r="L169" s="2">
        <v>8449711290.8000002</v>
      </c>
      <c r="M169" s="3">
        <v>122547</v>
      </c>
      <c r="N169" s="3">
        <v>671784</v>
      </c>
      <c r="O169">
        <v>32.08</v>
      </c>
    </row>
    <row r="170" spans="1:15">
      <c r="A170" t="s">
        <v>15</v>
      </c>
      <c r="B170" t="s">
        <v>16</v>
      </c>
      <c r="C170" s="1">
        <v>46058</v>
      </c>
      <c r="D170" s="2">
        <v>4217.1000000000004</v>
      </c>
      <c r="E170" s="2">
        <v>4121</v>
      </c>
      <c r="F170" s="2">
        <v>4125</v>
      </c>
      <c r="G170" s="2">
        <v>3952</v>
      </c>
      <c r="H170" s="2">
        <v>4030</v>
      </c>
      <c r="I170" s="2">
        <v>4035.5</v>
      </c>
      <c r="J170" s="2">
        <v>4018.03</v>
      </c>
      <c r="K170" s="3">
        <v>6343724</v>
      </c>
      <c r="L170" s="2">
        <v>25489276816.5</v>
      </c>
      <c r="M170" s="3">
        <v>340190</v>
      </c>
      <c r="N170" s="3">
        <v>2332092</v>
      </c>
      <c r="O170">
        <v>36.76</v>
      </c>
    </row>
    <row r="171" spans="1:15">
      <c r="A171" t="s">
        <v>15</v>
      </c>
      <c r="B171" t="s">
        <v>16</v>
      </c>
      <c r="C171" s="1">
        <v>46057</v>
      </c>
      <c r="D171" s="2">
        <v>4470.3999999999996</v>
      </c>
      <c r="E171" s="2">
        <v>4410</v>
      </c>
      <c r="F171" s="2">
        <v>4413</v>
      </c>
      <c r="G171" s="2">
        <v>4097.6000000000004</v>
      </c>
      <c r="H171" s="2">
        <v>4213.8999999999996</v>
      </c>
      <c r="I171" s="2">
        <v>4217.1000000000004</v>
      </c>
      <c r="J171" s="2">
        <v>4214.49</v>
      </c>
      <c r="K171" s="3">
        <v>5290920</v>
      </c>
      <c r="L171" s="2">
        <v>22298533756.299999</v>
      </c>
      <c r="M171" s="3">
        <v>358612</v>
      </c>
      <c r="N171" s="3">
        <v>2480047</v>
      </c>
      <c r="O171">
        <v>46.87</v>
      </c>
    </row>
    <row r="172" spans="1:15">
      <c r="A172" t="s">
        <v>15</v>
      </c>
      <c r="B172" t="s">
        <v>16</v>
      </c>
      <c r="C172" s="1">
        <v>46056</v>
      </c>
      <c r="D172" s="2">
        <v>4338.7</v>
      </c>
      <c r="E172" s="2">
        <v>4500</v>
      </c>
      <c r="F172" s="2">
        <v>4608.1000000000004</v>
      </c>
      <c r="G172" s="2">
        <v>4410.1000000000004</v>
      </c>
      <c r="H172" s="2">
        <v>4467</v>
      </c>
      <c r="I172" s="2">
        <v>4470.3999999999996</v>
      </c>
      <c r="J172" s="2">
        <v>4475.43</v>
      </c>
      <c r="K172" s="3">
        <v>1450873</v>
      </c>
      <c r="L172" s="2">
        <v>6493275023.6999998</v>
      </c>
      <c r="M172" s="3">
        <v>102502</v>
      </c>
      <c r="N172" s="3">
        <v>600404</v>
      </c>
      <c r="O172">
        <v>41.38</v>
      </c>
    </row>
    <row r="173" spans="1:15">
      <c r="A173" t="s">
        <v>15</v>
      </c>
      <c r="B173" t="s">
        <v>16</v>
      </c>
      <c r="C173" s="1">
        <v>46055</v>
      </c>
      <c r="D173" s="2">
        <v>4376.8999999999996</v>
      </c>
      <c r="E173" s="2">
        <v>4415</v>
      </c>
      <c r="F173" s="2">
        <v>4453.8</v>
      </c>
      <c r="G173" s="2">
        <v>4207.1000000000004</v>
      </c>
      <c r="H173" s="2">
        <v>4348</v>
      </c>
      <c r="I173" s="2">
        <v>4338.7</v>
      </c>
      <c r="J173" s="2">
        <v>4281.34</v>
      </c>
      <c r="K173" s="3">
        <v>2563637</v>
      </c>
      <c r="L173" s="2">
        <v>10975804068.1</v>
      </c>
      <c r="M173" s="3">
        <v>186630</v>
      </c>
      <c r="N173" s="3">
        <v>943758</v>
      </c>
      <c r="O173">
        <v>36.81</v>
      </c>
    </row>
    <row r="174" spans="1:15">
      <c r="A174" t="s">
        <v>15</v>
      </c>
      <c r="B174" t="s">
        <v>16</v>
      </c>
      <c r="C174" s="1">
        <v>46054</v>
      </c>
      <c r="D174" s="2">
        <v>4619.3999999999996</v>
      </c>
      <c r="E174" s="2">
        <v>4659</v>
      </c>
      <c r="F174" s="2">
        <v>4710</v>
      </c>
      <c r="G174" s="2">
        <v>4165</v>
      </c>
      <c r="H174" s="2">
        <v>4370</v>
      </c>
      <c r="I174" s="2">
        <v>4376.8999999999996</v>
      </c>
      <c r="J174" s="2">
        <v>4504.33</v>
      </c>
      <c r="K174" s="3">
        <v>4034039</v>
      </c>
      <c r="L174" s="2">
        <v>18170658080.5</v>
      </c>
      <c r="M174" s="3">
        <v>293853</v>
      </c>
      <c r="N174" s="3">
        <v>906171</v>
      </c>
      <c r="O174">
        <v>22.46</v>
      </c>
    </row>
    <row r="175" spans="1:15">
      <c r="A175" t="s">
        <v>15</v>
      </c>
      <c r="B175" t="s">
        <v>16</v>
      </c>
      <c r="C175" s="1">
        <v>46052</v>
      </c>
      <c r="D175" s="2">
        <v>4601</v>
      </c>
      <c r="E175" s="2">
        <v>4620</v>
      </c>
      <c r="F175" s="2">
        <v>4634.8</v>
      </c>
      <c r="G175" s="2">
        <v>4541</v>
      </c>
      <c r="H175" s="2">
        <v>4623</v>
      </c>
      <c r="I175" s="2">
        <v>4619.3999999999996</v>
      </c>
      <c r="J175" s="2">
        <v>4602.4799999999996</v>
      </c>
      <c r="K175" s="3">
        <v>1582165</v>
      </c>
      <c r="L175" s="2">
        <v>7281880382.5</v>
      </c>
      <c r="M175" s="3">
        <v>88463</v>
      </c>
      <c r="N175" s="3">
        <v>688521</v>
      </c>
      <c r="O175">
        <v>43.52</v>
      </c>
    </row>
    <row r="176" spans="1:15">
      <c r="A176" t="s">
        <v>15</v>
      </c>
      <c r="B176" t="s">
        <v>16</v>
      </c>
      <c r="C176" s="1">
        <v>46051</v>
      </c>
      <c r="D176" s="2">
        <v>4624</v>
      </c>
      <c r="E176" s="2">
        <v>4659</v>
      </c>
      <c r="F176" s="2">
        <v>4670</v>
      </c>
      <c r="G176" s="2">
        <v>4553.1000000000004</v>
      </c>
      <c r="H176" s="2">
        <v>4613.5</v>
      </c>
      <c r="I176" s="2">
        <v>4601</v>
      </c>
      <c r="J176" s="2">
        <v>4603.74</v>
      </c>
      <c r="K176" s="3">
        <v>1301527</v>
      </c>
      <c r="L176" s="2">
        <v>5991888857.1000004</v>
      </c>
      <c r="M176" s="3">
        <v>97172</v>
      </c>
      <c r="N176" s="3">
        <v>562399</v>
      </c>
      <c r="O176">
        <v>43.21</v>
      </c>
    </row>
    <row r="177" spans="1:15">
      <c r="A177" t="s">
        <v>15</v>
      </c>
      <c r="B177" t="s">
        <v>16</v>
      </c>
      <c r="C177" s="1">
        <v>46050</v>
      </c>
      <c r="D177" s="2">
        <v>4348.5</v>
      </c>
      <c r="E177" s="2">
        <v>4370</v>
      </c>
      <c r="F177" s="2">
        <v>4638.6000000000004</v>
      </c>
      <c r="G177" s="2">
        <v>4361.5</v>
      </c>
      <c r="H177" s="2">
        <v>4633</v>
      </c>
      <c r="I177" s="2">
        <v>4624</v>
      </c>
      <c r="J177" s="2">
        <v>4532.6899999999996</v>
      </c>
      <c r="K177" s="3">
        <v>1837685</v>
      </c>
      <c r="L177" s="2">
        <v>8329660769</v>
      </c>
      <c r="M177" s="3">
        <v>104208</v>
      </c>
      <c r="N177" s="3">
        <v>851537</v>
      </c>
      <c r="O177">
        <v>46.34</v>
      </c>
    </row>
    <row r="178" spans="1:15">
      <c r="A178" t="s">
        <v>15</v>
      </c>
      <c r="B178" t="s">
        <v>16</v>
      </c>
      <c r="C178" s="1">
        <v>46049</v>
      </c>
      <c r="D178" s="2">
        <v>4305.7</v>
      </c>
      <c r="E178" s="2">
        <v>4349.8999999999996</v>
      </c>
      <c r="F178" s="2">
        <v>4377.3</v>
      </c>
      <c r="G178" s="2">
        <v>4271.7</v>
      </c>
      <c r="H178" s="2">
        <v>4370</v>
      </c>
      <c r="I178" s="2">
        <v>4348.5</v>
      </c>
      <c r="J178" s="2">
        <v>4317.0200000000004</v>
      </c>
      <c r="K178" s="3">
        <v>1042386</v>
      </c>
      <c r="L178" s="2">
        <v>4500000316.5</v>
      </c>
      <c r="M178" s="3">
        <v>77314</v>
      </c>
      <c r="N178" s="3">
        <v>470943</v>
      </c>
      <c r="O178">
        <v>45.18</v>
      </c>
    </row>
    <row r="179" spans="1:15">
      <c r="A179" t="s">
        <v>15</v>
      </c>
      <c r="B179" t="s">
        <v>16</v>
      </c>
      <c r="C179" s="1">
        <v>46045</v>
      </c>
      <c r="D179" s="2">
        <v>4353.2</v>
      </c>
      <c r="E179" s="2">
        <v>4375</v>
      </c>
      <c r="F179" s="2">
        <v>4375</v>
      </c>
      <c r="G179" s="2">
        <v>4294.3999999999996</v>
      </c>
      <c r="H179" s="2">
        <v>4310</v>
      </c>
      <c r="I179" s="2">
        <v>4305.7</v>
      </c>
      <c r="J179" s="2">
        <v>4323.6400000000003</v>
      </c>
      <c r="K179" s="3">
        <v>704843</v>
      </c>
      <c r="L179" s="2">
        <v>3047489597</v>
      </c>
      <c r="M179" s="3">
        <v>45342</v>
      </c>
      <c r="N179" s="3">
        <v>346788</v>
      </c>
      <c r="O179">
        <v>49.2</v>
      </c>
    </row>
    <row r="180" spans="1:15">
      <c r="A180" t="s">
        <v>15</v>
      </c>
      <c r="B180" t="s">
        <v>16</v>
      </c>
      <c r="C180" s="1">
        <v>46044</v>
      </c>
      <c r="D180" s="2">
        <v>4259.3999999999996</v>
      </c>
      <c r="E180" s="2">
        <v>4299</v>
      </c>
      <c r="F180" s="2">
        <v>4367</v>
      </c>
      <c r="G180" s="2">
        <v>4290.6000000000004</v>
      </c>
      <c r="H180" s="2">
        <v>4366.8</v>
      </c>
      <c r="I180" s="2">
        <v>4353.2</v>
      </c>
      <c r="J180" s="2">
        <v>4328.8900000000003</v>
      </c>
      <c r="K180" s="3">
        <v>725419</v>
      </c>
      <c r="L180" s="2">
        <v>3140260887.5999999</v>
      </c>
      <c r="M180" s="3">
        <v>52776</v>
      </c>
      <c r="N180" s="3">
        <v>345099</v>
      </c>
      <c r="O180">
        <v>47.57</v>
      </c>
    </row>
    <row r="181" spans="1:15">
      <c r="A181" t="s">
        <v>15</v>
      </c>
      <c r="B181" t="s">
        <v>16</v>
      </c>
      <c r="C181" s="1">
        <v>46043</v>
      </c>
      <c r="D181" s="2">
        <v>4355.2</v>
      </c>
      <c r="E181" s="2">
        <v>4315</v>
      </c>
      <c r="F181" s="2">
        <v>4337.6000000000004</v>
      </c>
      <c r="G181" s="2">
        <v>4235</v>
      </c>
      <c r="H181" s="2">
        <v>4260.8999999999996</v>
      </c>
      <c r="I181" s="2">
        <v>4259.3999999999996</v>
      </c>
      <c r="J181" s="2">
        <v>4286.3999999999996</v>
      </c>
      <c r="K181" s="3">
        <v>1113913</v>
      </c>
      <c r="L181" s="2">
        <v>4774677621.1999998</v>
      </c>
      <c r="M181" s="3">
        <v>96080</v>
      </c>
      <c r="N181" s="3">
        <v>475719</v>
      </c>
      <c r="O181">
        <v>42.71</v>
      </c>
    </row>
    <row r="182" spans="1:15">
      <c r="A182" t="s">
        <v>15</v>
      </c>
      <c r="B182" t="s">
        <v>16</v>
      </c>
      <c r="C182" s="1">
        <v>46042</v>
      </c>
      <c r="D182" s="2">
        <v>4504.3</v>
      </c>
      <c r="E182" s="2">
        <v>4504.3</v>
      </c>
      <c r="F182" s="2">
        <v>4525</v>
      </c>
      <c r="G182" s="2">
        <v>4327</v>
      </c>
      <c r="H182" s="2">
        <v>4350</v>
      </c>
      <c r="I182" s="2">
        <v>4355.2</v>
      </c>
      <c r="J182" s="2">
        <v>4411.54</v>
      </c>
      <c r="K182" s="3">
        <v>1194605</v>
      </c>
      <c r="L182" s="2">
        <v>5270043920.6000004</v>
      </c>
      <c r="M182" s="3">
        <v>81646</v>
      </c>
      <c r="N182" s="3">
        <v>600877</v>
      </c>
      <c r="O182">
        <v>50.3</v>
      </c>
    </row>
    <row r="183" spans="1:15">
      <c r="A183" t="s">
        <v>15</v>
      </c>
      <c r="B183" t="s">
        <v>16</v>
      </c>
      <c r="C183" s="1">
        <v>46041</v>
      </c>
      <c r="D183" s="2">
        <v>4428.7</v>
      </c>
      <c r="E183" s="2">
        <v>4427</v>
      </c>
      <c r="F183" s="2">
        <v>4517</v>
      </c>
      <c r="G183" s="2">
        <v>4414.1000000000004</v>
      </c>
      <c r="H183" s="2">
        <v>4502</v>
      </c>
      <c r="I183" s="2">
        <v>4504.3</v>
      </c>
      <c r="J183" s="2">
        <v>4480.9399999999996</v>
      </c>
      <c r="K183" s="3">
        <v>792050</v>
      </c>
      <c r="L183" s="2">
        <v>3549129681.3000002</v>
      </c>
      <c r="M183" s="3">
        <v>43294</v>
      </c>
      <c r="N183" s="3">
        <v>337690</v>
      </c>
      <c r="O183">
        <v>42.63</v>
      </c>
    </row>
    <row r="184" spans="1:15">
      <c r="A184" t="s">
        <v>15</v>
      </c>
      <c r="B184" t="s">
        <v>16</v>
      </c>
      <c r="C184" s="1">
        <v>46038</v>
      </c>
      <c r="D184" s="2">
        <v>4461.3999999999996</v>
      </c>
      <c r="E184" s="2">
        <v>4485</v>
      </c>
      <c r="F184" s="2">
        <v>4488</v>
      </c>
      <c r="G184" s="2">
        <v>4367.6000000000004</v>
      </c>
      <c r="H184" s="2">
        <v>4434.8999999999996</v>
      </c>
      <c r="I184" s="2">
        <v>4428.7</v>
      </c>
      <c r="J184" s="2">
        <v>4417.08</v>
      </c>
      <c r="K184" s="3">
        <v>1576883</v>
      </c>
      <c r="L184" s="2">
        <v>6965214259.8999996</v>
      </c>
      <c r="M184" s="3">
        <v>87843</v>
      </c>
      <c r="N184" s="3">
        <v>813112</v>
      </c>
      <c r="O184">
        <v>51.56</v>
      </c>
    </row>
    <row r="185" spans="1:15">
      <c r="A185" t="s">
        <v>15</v>
      </c>
      <c r="B185" t="s">
        <v>16</v>
      </c>
      <c r="C185" s="1">
        <v>46036</v>
      </c>
      <c r="D185" s="2">
        <v>4452.3999999999996</v>
      </c>
      <c r="E185" s="2">
        <v>4452.3999999999996</v>
      </c>
      <c r="F185" s="2">
        <v>4501</v>
      </c>
      <c r="G185" s="2">
        <v>4422</v>
      </c>
      <c r="H185" s="2">
        <v>4463</v>
      </c>
      <c r="I185" s="2">
        <v>4461.3999999999996</v>
      </c>
      <c r="J185" s="2">
        <v>4468.1400000000003</v>
      </c>
      <c r="K185" s="3">
        <v>597515</v>
      </c>
      <c r="L185" s="2">
        <v>2669778843.1999998</v>
      </c>
      <c r="M185" s="3">
        <v>41968</v>
      </c>
      <c r="N185" s="3">
        <v>259640</v>
      </c>
      <c r="O185">
        <v>43.45</v>
      </c>
    </row>
    <row r="186" spans="1:15">
      <c r="A186" t="s">
        <v>15</v>
      </c>
      <c r="B186" t="s">
        <v>16</v>
      </c>
      <c r="C186" s="1">
        <v>46035</v>
      </c>
      <c r="D186" s="2">
        <v>4518.3999999999996</v>
      </c>
      <c r="E186" s="2">
        <v>4525</v>
      </c>
      <c r="F186" s="2">
        <v>4559.8999999999996</v>
      </c>
      <c r="G186" s="2">
        <v>4400.3999999999996</v>
      </c>
      <c r="H186" s="2">
        <v>4454</v>
      </c>
      <c r="I186" s="2">
        <v>4452.3999999999996</v>
      </c>
      <c r="J186" s="2">
        <v>4464.92</v>
      </c>
      <c r="K186" s="3">
        <v>753776</v>
      </c>
      <c r="L186" s="2">
        <v>3365547197.0999999</v>
      </c>
      <c r="M186" s="3">
        <v>48727</v>
      </c>
      <c r="N186" s="3">
        <v>298096</v>
      </c>
      <c r="O186">
        <v>39.549999999999997</v>
      </c>
    </row>
    <row r="187" spans="1:15">
      <c r="A187" t="s">
        <v>15</v>
      </c>
      <c r="B187" t="s">
        <v>16</v>
      </c>
      <c r="C187" s="1">
        <v>46034</v>
      </c>
      <c r="D187" s="2">
        <v>4462.1000000000004</v>
      </c>
      <c r="E187" s="2">
        <v>4480</v>
      </c>
      <c r="F187" s="2">
        <v>4528.5</v>
      </c>
      <c r="G187" s="2">
        <v>4417.8999999999996</v>
      </c>
      <c r="H187" s="2">
        <v>4521</v>
      </c>
      <c r="I187" s="2">
        <v>4518.3999999999996</v>
      </c>
      <c r="J187" s="2">
        <v>4475.68</v>
      </c>
      <c r="K187" s="3">
        <v>744251</v>
      </c>
      <c r="L187" s="2">
        <v>3331028019.5999999</v>
      </c>
      <c r="M187" s="3">
        <v>49673</v>
      </c>
      <c r="N187" s="3">
        <v>246377</v>
      </c>
      <c r="O187">
        <v>33.1</v>
      </c>
    </row>
    <row r="188" spans="1:15">
      <c r="A188" t="s">
        <v>15</v>
      </c>
      <c r="B188" t="s">
        <v>16</v>
      </c>
      <c r="C188" s="1">
        <v>46031</v>
      </c>
      <c r="D188" s="2">
        <v>4479.8</v>
      </c>
      <c r="E188" s="2">
        <v>4466.8</v>
      </c>
      <c r="F188" s="2">
        <v>4543</v>
      </c>
      <c r="G188" s="2">
        <v>4440</v>
      </c>
      <c r="H188" s="2">
        <v>4462</v>
      </c>
      <c r="I188" s="2">
        <v>4462.1000000000004</v>
      </c>
      <c r="J188" s="2">
        <v>4493.66</v>
      </c>
      <c r="K188" s="3">
        <v>1017357</v>
      </c>
      <c r="L188" s="2">
        <v>4571658754.8000002</v>
      </c>
      <c r="M188" s="3">
        <v>53806</v>
      </c>
      <c r="N188" s="3">
        <v>392044</v>
      </c>
      <c r="O188">
        <v>38.54</v>
      </c>
    </row>
    <row r="189" spans="1:15">
      <c r="A189" t="s">
        <v>15</v>
      </c>
      <c r="B189" t="s">
        <v>16</v>
      </c>
      <c r="C189" s="1">
        <v>46030</v>
      </c>
      <c r="D189" s="2">
        <v>4525.1000000000004</v>
      </c>
      <c r="E189" s="2">
        <v>4526</v>
      </c>
      <c r="F189" s="2">
        <v>4579</v>
      </c>
      <c r="G189" s="2">
        <v>4465.6000000000004</v>
      </c>
      <c r="H189" s="2">
        <v>4469.8999999999996</v>
      </c>
      <c r="I189" s="2">
        <v>4479.8</v>
      </c>
      <c r="J189" s="2">
        <v>4532.8999999999996</v>
      </c>
      <c r="K189" s="3">
        <v>966719</v>
      </c>
      <c r="L189" s="2">
        <v>4382041699.1999998</v>
      </c>
      <c r="M189" s="3">
        <v>55757</v>
      </c>
      <c r="N189" s="3">
        <v>320871</v>
      </c>
      <c r="O189">
        <v>33.19</v>
      </c>
    </row>
    <row r="190" spans="1:15">
      <c r="A190" t="s">
        <v>15</v>
      </c>
      <c r="B190" t="s">
        <v>16</v>
      </c>
      <c r="C190" s="1">
        <v>46029</v>
      </c>
      <c r="D190" s="2">
        <v>4516</v>
      </c>
      <c r="E190" s="2">
        <v>4516</v>
      </c>
      <c r="F190" s="2">
        <v>4536</v>
      </c>
      <c r="G190" s="2">
        <v>4480</v>
      </c>
      <c r="H190" s="2">
        <v>4525</v>
      </c>
      <c r="I190" s="2">
        <v>4525.1000000000004</v>
      </c>
      <c r="J190" s="2">
        <v>4511.6899999999996</v>
      </c>
      <c r="K190" s="3">
        <v>439887</v>
      </c>
      <c r="L190" s="2">
        <v>1984633905.2</v>
      </c>
      <c r="M190" s="3">
        <v>34329</v>
      </c>
      <c r="N190" s="3">
        <v>215059</v>
      </c>
      <c r="O190">
        <v>48.89</v>
      </c>
    </row>
    <row r="191" spans="1:15">
      <c r="A191" t="s">
        <v>15</v>
      </c>
      <c r="B191" t="s">
        <v>16</v>
      </c>
      <c r="C191" s="1">
        <v>46028</v>
      </c>
      <c r="D191" s="2">
        <v>4526.1000000000004</v>
      </c>
      <c r="E191" s="2">
        <v>4528.3</v>
      </c>
      <c r="F191" s="2">
        <v>4547.7</v>
      </c>
      <c r="G191" s="2">
        <v>4478.6000000000004</v>
      </c>
      <c r="H191" s="2">
        <v>4505.1000000000004</v>
      </c>
      <c r="I191" s="2">
        <v>4516</v>
      </c>
      <c r="J191" s="2">
        <v>4514.53</v>
      </c>
      <c r="K191" s="3">
        <v>530874</v>
      </c>
      <c r="L191" s="2">
        <v>2396647281.1999998</v>
      </c>
      <c r="M191" s="3">
        <v>37023</v>
      </c>
      <c r="N191" s="3">
        <v>222960</v>
      </c>
      <c r="O191">
        <v>42</v>
      </c>
    </row>
    <row r="192" spans="1:15">
      <c r="A192" t="s">
        <v>15</v>
      </c>
      <c r="B192" t="s">
        <v>16</v>
      </c>
      <c r="C192" s="1">
        <v>46027</v>
      </c>
      <c r="D192" s="2">
        <v>4417.8</v>
      </c>
      <c r="E192" s="2">
        <v>4418</v>
      </c>
      <c r="F192" s="2">
        <v>4544.8999999999996</v>
      </c>
      <c r="G192" s="2">
        <v>4417.8</v>
      </c>
      <c r="H192" s="2">
        <v>4524</v>
      </c>
      <c r="I192" s="2">
        <v>4526.1000000000004</v>
      </c>
      <c r="J192" s="2">
        <v>4514.96</v>
      </c>
      <c r="K192" s="3">
        <v>1256096</v>
      </c>
      <c r="L192" s="2">
        <v>5671219620.5</v>
      </c>
      <c r="M192" s="3">
        <v>70245</v>
      </c>
      <c r="N192" s="3">
        <v>482065</v>
      </c>
      <c r="O192">
        <v>38.380000000000003</v>
      </c>
    </row>
    <row r="193" spans="1:15">
      <c r="A193" t="s">
        <v>15</v>
      </c>
      <c r="B193" t="s">
        <v>16</v>
      </c>
      <c r="C193" s="1">
        <v>46024</v>
      </c>
      <c r="D193" s="2">
        <v>4397.8999999999996</v>
      </c>
      <c r="E193" s="2">
        <v>4413.1000000000004</v>
      </c>
      <c r="F193" s="2">
        <v>4429</v>
      </c>
      <c r="G193" s="2">
        <v>4380</v>
      </c>
      <c r="H193" s="2">
        <v>4418</v>
      </c>
      <c r="I193" s="2">
        <v>4417.8</v>
      </c>
      <c r="J193" s="2">
        <v>4409.22</v>
      </c>
      <c r="K193" s="3">
        <v>597270</v>
      </c>
      <c r="L193" s="2">
        <v>2633495329.1999998</v>
      </c>
      <c r="M193" s="3">
        <v>49222</v>
      </c>
      <c r="N193" s="3">
        <v>256242</v>
      </c>
      <c r="O193">
        <v>42.9</v>
      </c>
    </row>
    <row r="194" spans="1:15">
      <c r="A194" t="s">
        <v>15</v>
      </c>
      <c r="B194" t="s">
        <v>16</v>
      </c>
      <c r="C194" s="1">
        <v>46023</v>
      </c>
      <c r="D194" s="2">
        <v>4388.7</v>
      </c>
      <c r="E194" s="2">
        <v>4388.7</v>
      </c>
      <c r="F194" s="2">
        <v>4414.3999999999996</v>
      </c>
      <c r="G194" s="2">
        <v>4342.6000000000004</v>
      </c>
      <c r="H194" s="2">
        <v>4400</v>
      </c>
      <c r="I194" s="2">
        <v>4397.8999999999996</v>
      </c>
      <c r="J194" s="2">
        <v>4380.42</v>
      </c>
      <c r="K194" s="3">
        <v>384408</v>
      </c>
      <c r="L194" s="2">
        <v>1683868865.4000001</v>
      </c>
      <c r="M194" s="3">
        <v>24895</v>
      </c>
      <c r="N194" s="3">
        <v>177477</v>
      </c>
      <c r="O194">
        <v>46.17</v>
      </c>
    </row>
    <row r="195" spans="1:15">
      <c r="A195" t="s">
        <v>15</v>
      </c>
      <c r="B195" t="s">
        <v>16</v>
      </c>
      <c r="C195" s="1">
        <v>46022</v>
      </c>
      <c r="D195" s="2">
        <v>4325.5</v>
      </c>
      <c r="E195" s="2">
        <v>4326</v>
      </c>
      <c r="F195" s="2">
        <v>4400</v>
      </c>
      <c r="G195" s="2">
        <v>4326</v>
      </c>
      <c r="H195" s="2">
        <v>4386</v>
      </c>
      <c r="I195" s="2">
        <v>4388.7</v>
      </c>
      <c r="J195" s="2">
        <v>4383.2</v>
      </c>
      <c r="K195" s="3">
        <v>512109</v>
      </c>
      <c r="L195" s="2">
        <v>2244676147.3000002</v>
      </c>
      <c r="M195" s="3">
        <v>31585</v>
      </c>
      <c r="N195" s="3">
        <v>227639</v>
      </c>
      <c r="O195">
        <v>44.45</v>
      </c>
    </row>
    <row r="196" spans="1:15">
      <c r="A196" t="s">
        <v>15</v>
      </c>
      <c r="B196" t="s">
        <v>16</v>
      </c>
      <c r="C196" s="1">
        <v>46021</v>
      </c>
      <c r="D196" s="2">
        <v>4374.3</v>
      </c>
      <c r="E196" s="2">
        <v>4380</v>
      </c>
      <c r="F196" s="2">
        <v>4382.3999999999996</v>
      </c>
      <c r="G196" s="2">
        <v>4305</v>
      </c>
      <c r="H196" s="2">
        <v>4319.8999999999996</v>
      </c>
      <c r="I196" s="2">
        <v>4325.5</v>
      </c>
      <c r="J196" s="2">
        <v>4334.6000000000004</v>
      </c>
      <c r="K196" s="3">
        <v>1064901</v>
      </c>
      <c r="L196" s="2">
        <v>4615922294.1999998</v>
      </c>
      <c r="M196" s="3">
        <v>72232</v>
      </c>
      <c r="N196" s="3">
        <v>622733</v>
      </c>
      <c r="O196">
        <v>58.48</v>
      </c>
    </row>
    <row r="197" spans="1:15">
      <c r="A197" t="s">
        <v>15</v>
      </c>
      <c r="B197" t="s">
        <v>16</v>
      </c>
      <c r="C197" s="1">
        <v>46020</v>
      </c>
      <c r="D197" s="2">
        <v>4409.2</v>
      </c>
      <c r="E197" s="2">
        <v>4434</v>
      </c>
      <c r="F197" s="2">
        <v>4458.2</v>
      </c>
      <c r="G197" s="2">
        <v>4359.3999999999996</v>
      </c>
      <c r="H197" s="2">
        <v>4374</v>
      </c>
      <c r="I197" s="2">
        <v>4374.3</v>
      </c>
      <c r="J197" s="2">
        <v>4420.38</v>
      </c>
      <c r="K197" s="3">
        <v>778626</v>
      </c>
      <c r="L197" s="2">
        <v>3441826066.4000001</v>
      </c>
      <c r="M197" s="3">
        <v>42595</v>
      </c>
      <c r="N197" s="3">
        <v>416074</v>
      </c>
      <c r="O197">
        <v>53.44</v>
      </c>
    </row>
    <row r="198" spans="1:15">
      <c r="A198" t="s">
        <v>15</v>
      </c>
      <c r="B198" t="s">
        <v>16</v>
      </c>
      <c r="C198" s="1">
        <v>46017</v>
      </c>
      <c r="D198" s="2">
        <v>4421.3</v>
      </c>
      <c r="E198" s="2">
        <v>4445</v>
      </c>
      <c r="F198" s="2">
        <v>4476</v>
      </c>
      <c r="G198" s="2">
        <v>4401.1000000000004</v>
      </c>
      <c r="H198" s="2">
        <v>4412.8999999999996</v>
      </c>
      <c r="I198" s="2">
        <v>4409.2</v>
      </c>
      <c r="J198" s="2">
        <v>4443.54</v>
      </c>
      <c r="K198" s="3">
        <v>690425</v>
      </c>
      <c r="L198" s="2">
        <v>3067927960.9000001</v>
      </c>
      <c r="M198" s="3">
        <v>43823</v>
      </c>
      <c r="N198" s="3">
        <v>281289</v>
      </c>
      <c r="O198">
        <v>40.74</v>
      </c>
    </row>
    <row r="199" spans="1:15">
      <c r="A199" t="s">
        <v>15</v>
      </c>
      <c r="B199" t="s">
        <v>16</v>
      </c>
      <c r="C199" s="1">
        <v>46015</v>
      </c>
      <c r="D199" s="2">
        <v>4407.3999999999996</v>
      </c>
      <c r="E199" s="2">
        <v>4415</v>
      </c>
      <c r="F199" s="2">
        <v>4460</v>
      </c>
      <c r="G199" s="2">
        <v>4397.3999999999996</v>
      </c>
      <c r="H199" s="2">
        <v>4420</v>
      </c>
      <c r="I199" s="2">
        <v>4421.3</v>
      </c>
      <c r="J199" s="2">
        <v>4437.51</v>
      </c>
      <c r="K199" s="3">
        <v>486359</v>
      </c>
      <c r="L199" s="2">
        <v>2158221205.9000001</v>
      </c>
      <c r="M199" s="3">
        <v>35074</v>
      </c>
      <c r="N199" s="3">
        <v>194568</v>
      </c>
      <c r="O199">
        <v>40.01</v>
      </c>
    </row>
    <row r="200" spans="1:15">
      <c r="A200" t="s">
        <v>15</v>
      </c>
      <c r="B200" t="s">
        <v>16</v>
      </c>
      <c r="C200" s="1">
        <v>46014</v>
      </c>
      <c r="D200" s="2">
        <v>4386.1000000000004</v>
      </c>
      <c r="E200" s="2">
        <v>4400</v>
      </c>
      <c r="F200" s="2">
        <v>4451.2</v>
      </c>
      <c r="G200" s="2">
        <v>4368.5</v>
      </c>
      <c r="H200" s="2">
        <v>4409.8</v>
      </c>
      <c r="I200" s="2">
        <v>4407.3999999999996</v>
      </c>
      <c r="J200" s="2">
        <v>4419.67</v>
      </c>
      <c r="K200" s="3">
        <v>587365</v>
      </c>
      <c r="L200" s="2">
        <v>2595960558.9000001</v>
      </c>
      <c r="M200" s="3">
        <v>37291</v>
      </c>
      <c r="N200" s="3">
        <v>224343</v>
      </c>
      <c r="O200">
        <v>38.19</v>
      </c>
    </row>
    <row r="201" spans="1:15">
      <c r="A201" t="s">
        <v>15</v>
      </c>
      <c r="B201" t="s">
        <v>16</v>
      </c>
      <c r="C201" s="1">
        <v>46013</v>
      </c>
      <c r="D201" s="2">
        <v>4305.3</v>
      </c>
      <c r="E201" s="2">
        <v>4311.7</v>
      </c>
      <c r="F201" s="2">
        <v>4392</v>
      </c>
      <c r="G201" s="2">
        <v>4307.1000000000004</v>
      </c>
      <c r="H201" s="2">
        <v>4383</v>
      </c>
      <c r="I201" s="2">
        <v>4386.1000000000004</v>
      </c>
      <c r="J201" s="2">
        <v>4363.05</v>
      </c>
      <c r="K201" s="3">
        <v>657486</v>
      </c>
      <c r="L201" s="2">
        <v>2868642016.5999999</v>
      </c>
      <c r="M201" s="3">
        <v>38835</v>
      </c>
      <c r="N201" s="3">
        <v>257843</v>
      </c>
      <c r="O201">
        <v>39.22</v>
      </c>
    </row>
    <row r="202" spans="1:15">
      <c r="A202" t="s">
        <v>15</v>
      </c>
      <c r="B202" t="s">
        <v>16</v>
      </c>
      <c r="C202" s="1">
        <v>46010</v>
      </c>
      <c r="D202" s="2">
        <v>4259.5</v>
      </c>
      <c r="E202" s="2">
        <v>4269.8999999999996</v>
      </c>
      <c r="F202" s="2">
        <v>4314</v>
      </c>
      <c r="G202" s="2">
        <v>4251.3999999999996</v>
      </c>
      <c r="H202" s="2">
        <v>4302.5</v>
      </c>
      <c r="I202" s="2">
        <v>4305.3</v>
      </c>
      <c r="J202" s="2">
        <v>4290.84</v>
      </c>
      <c r="K202" s="3">
        <v>650177</v>
      </c>
      <c r="L202" s="2">
        <v>2789804980.5999999</v>
      </c>
      <c r="M202" s="3">
        <v>40778</v>
      </c>
      <c r="N202" s="3">
        <v>317836</v>
      </c>
      <c r="O202">
        <v>48.88</v>
      </c>
    </row>
    <row r="203" spans="1:15">
      <c r="A203" t="s">
        <v>15</v>
      </c>
      <c r="B203" t="s">
        <v>16</v>
      </c>
      <c r="C203" s="1">
        <v>46009</v>
      </c>
      <c r="D203" s="2">
        <v>4228.3999999999996</v>
      </c>
      <c r="E203" s="2">
        <v>4228.3999999999996</v>
      </c>
      <c r="F203" s="2">
        <v>4268.3999999999996</v>
      </c>
      <c r="G203" s="2">
        <v>4192.6000000000004</v>
      </c>
      <c r="H203" s="2">
        <v>4250.3</v>
      </c>
      <c r="I203" s="2">
        <v>4259.5</v>
      </c>
      <c r="J203" s="2">
        <v>4237.79</v>
      </c>
      <c r="K203" s="3">
        <v>557768</v>
      </c>
      <c r="L203" s="2">
        <v>2363705664.9000001</v>
      </c>
      <c r="M203" s="3">
        <v>40845</v>
      </c>
      <c r="N203" s="3">
        <v>247467</v>
      </c>
      <c r="O203">
        <v>44.37</v>
      </c>
    </row>
    <row r="204" spans="1:15">
      <c r="A204" t="s">
        <v>15</v>
      </c>
      <c r="B204" t="s">
        <v>16</v>
      </c>
      <c r="C204" s="1">
        <v>46008</v>
      </c>
      <c r="D204" s="2">
        <v>4261.3999999999996</v>
      </c>
      <c r="E204" s="2">
        <v>4260.5</v>
      </c>
      <c r="F204" s="2">
        <v>4270</v>
      </c>
      <c r="G204" s="2">
        <v>4218.2</v>
      </c>
      <c r="H204" s="2">
        <v>4225</v>
      </c>
      <c r="I204" s="2">
        <v>4228.3999999999996</v>
      </c>
      <c r="J204" s="2">
        <v>4237.8999999999996</v>
      </c>
      <c r="K204" s="3">
        <v>645807</v>
      </c>
      <c r="L204" s="2">
        <v>2736866487.0999999</v>
      </c>
      <c r="M204" s="3">
        <v>41483</v>
      </c>
      <c r="N204" s="3">
        <v>337434</v>
      </c>
      <c r="O204">
        <v>52.25</v>
      </c>
    </row>
    <row r="205" spans="1:15">
      <c r="A205" t="s">
        <v>15</v>
      </c>
      <c r="B205" t="s">
        <v>16</v>
      </c>
      <c r="C205" s="1">
        <v>46007</v>
      </c>
      <c r="D205" s="2">
        <v>4321.6000000000004</v>
      </c>
      <c r="E205" s="2">
        <v>4324</v>
      </c>
      <c r="F205" s="2">
        <v>4329.3999999999996</v>
      </c>
      <c r="G205" s="2">
        <v>4242.8999999999996</v>
      </c>
      <c r="H205" s="2">
        <v>4252</v>
      </c>
      <c r="I205" s="2">
        <v>4261.3999999999996</v>
      </c>
      <c r="J205" s="2">
        <v>4261.8100000000004</v>
      </c>
      <c r="K205" s="3">
        <v>1006671</v>
      </c>
      <c r="L205" s="2">
        <v>4290241086.4000001</v>
      </c>
      <c r="M205" s="3">
        <v>64242</v>
      </c>
      <c r="N205" s="3">
        <v>615232</v>
      </c>
      <c r="O205">
        <v>61.12</v>
      </c>
    </row>
    <row r="206" spans="1:15">
      <c r="A206" t="s">
        <v>15</v>
      </c>
      <c r="B206" t="s">
        <v>16</v>
      </c>
      <c r="C206" s="1">
        <v>46006</v>
      </c>
      <c r="D206" s="2">
        <v>4302.5</v>
      </c>
      <c r="E206" s="2">
        <v>4252</v>
      </c>
      <c r="F206" s="2">
        <v>4342</v>
      </c>
      <c r="G206" s="2">
        <v>4252</v>
      </c>
      <c r="H206" s="2">
        <v>4323.3999999999996</v>
      </c>
      <c r="I206" s="2">
        <v>4321.6000000000004</v>
      </c>
      <c r="J206" s="2">
        <v>4314.0600000000004</v>
      </c>
      <c r="K206" s="3">
        <v>827861</v>
      </c>
      <c r="L206" s="2">
        <v>3571444326.0999999</v>
      </c>
      <c r="M206" s="3">
        <v>49010</v>
      </c>
      <c r="N206" s="3">
        <v>461840</v>
      </c>
      <c r="O206">
        <v>55.79</v>
      </c>
    </row>
    <row r="207" spans="1:15">
      <c r="A207" t="s">
        <v>15</v>
      </c>
      <c r="B207" t="s">
        <v>16</v>
      </c>
      <c r="C207" s="1">
        <v>46003</v>
      </c>
      <c r="D207" s="2">
        <v>4320.8</v>
      </c>
      <c r="E207" s="2">
        <v>4333</v>
      </c>
      <c r="F207" s="2">
        <v>4359.8999999999996</v>
      </c>
      <c r="G207" s="2">
        <v>4257.3</v>
      </c>
      <c r="H207" s="2">
        <v>4296</v>
      </c>
      <c r="I207" s="2">
        <v>4302.5</v>
      </c>
      <c r="J207" s="2">
        <v>4317.3599999999997</v>
      </c>
      <c r="K207" s="3">
        <v>791726</v>
      </c>
      <c r="L207" s="2">
        <v>3418164711.1999998</v>
      </c>
      <c r="M207" s="3">
        <v>60361</v>
      </c>
      <c r="N207" s="3">
        <v>359180</v>
      </c>
      <c r="O207">
        <v>45.37</v>
      </c>
    </row>
    <row r="208" spans="1:15">
      <c r="A208" t="s">
        <v>15</v>
      </c>
      <c r="B208" t="s">
        <v>16</v>
      </c>
      <c r="C208" s="1">
        <v>46002</v>
      </c>
      <c r="D208" s="2">
        <v>4294.1000000000004</v>
      </c>
      <c r="E208" s="2">
        <v>4300</v>
      </c>
      <c r="F208" s="2">
        <v>4334.3999999999996</v>
      </c>
      <c r="G208" s="2">
        <v>4286</v>
      </c>
      <c r="H208" s="2">
        <v>4314.3</v>
      </c>
      <c r="I208" s="2">
        <v>4320.8</v>
      </c>
      <c r="J208" s="2">
        <v>4312.5600000000004</v>
      </c>
      <c r="K208" s="3">
        <v>460221</v>
      </c>
      <c r="L208" s="2">
        <v>1984729829.0999999</v>
      </c>
      <c r="M208" s="3">
        <v>31855</v>
      </c>
      <c r="N208" s="3">
        <v>212461</v>
      </c>
      <c r="O208">
        <v>46.16</v>
      </c>
    </row>
    <row r="209" spans="1:15">
      <c r="A209" t="s">
        <v>15</v>
      </c>
      <c r="B209" t="s">
        <v>16</v>
      </c>
      <c r="C209" s="1">
        <v>46001</v>
      </c>
      <c r="D209" s="2">
        <v>4303</v>
      </c>
      <c r="E209" s="2">
        <v>4310.5</v>
      </c>
      <c r="F209" s="2">
        <v>4332.3999999999996</v>
      </c>
      <c r="G209" s="2">
        <v>4271</v>
      </c>
      <c r="H209" s="2">
        <v>4294</v>
      </c>
      <c r="I209" s="2">
        <v>4294.1000000000004</v>
      </c>
      <c r="J209" s="2">
        <v>4292.47</v>
      </c>
      <c r="K209" s="3">
        <v>949813</v>
      </c>
      <c r="L209" s="2">
        <v>4077041281.4000001</v>
      </c>
      <c r="M209" s="3">
        <v>57513</v>
      </c>
      <c r="N209" s="3">
        <v>580325</v>
      </c>
      <c r="O209">
        <v>61.1</v>
      </c>
    </row>
    <row r="210" spans="1:15">
      <c r="A210" t="s">
        <v>15</v>
      </c>
      <c r="B210" t="s">
        <v>16</v>
      </c>
      <c r="C210" s="1">
        <v>46000</v>
      </c>
      <c r="D210" s="2">
        <v>4287.1000000000004</v>
      </c>
      <c r="E210" s="2">
        <v>4272.5</v>
      </c>
      <c r="F210" s="2">
        <v>4314</v>
      </c>
      <c r="G210" s="2">
        <v>4187</v>
      </c>
      <c r="H210" s="2">
        <v>4311</v>
      </c>
      <c r="I210" s="2">
        <v>4303</v>
      </c>
      <c r="J210" s="2">
        <v>4253.09</v>
      </c>
      <c r="K210" s="3">
        <v>1674288</v>
      </c>
      <c r="L210" s="2">
        <v>7120895229.1000004</v>
      </c>
      <c r="M210" s="3">
        <v>89143</v>
      </c>
      <c r="N210" s="3">
        <v>902166</v>
      </c>
      <c r="O210">
        <v>53.88</v>
      </c>
    </row>
    <row r="211" spans="1:15">
      <c r="A211" t="s">
        <v>15</v>
      </c>
      <c r="B211" t="s">
        <v>16</v>
      </c>
      <c r="C211" s="1">
        <v>45999</v>
      </c>
      <c r="D211" s="2">
        <v>4443</v>
      </c>
      <c r="E211" s="2">
        <v>4443</v>
      </c>
      <c r="F211" s="2">
        <v>4448</v>
      </c>
      <c r="G211" s="2">
        <v>4270.5</v>
      </c>
      <c r="H211" s="2">
        <v>4280</v>
      </c>
      <c r="I211" s="2">
        <v>4287.1000000000004</v>
      </c>
      <c r="J211" s="2">
        <v>4341.9399999999996</v>
      </c>
      <c r="K211" s="3">
        <v>1757606</v>
      </c>
      <c r="L211" s="2">
        <v>7631420282.1000004</v>
      </c>
      <c r="M211" s="3">
        <v>130981</v>
      </c>
      <c r="N211" s="3">
        <v>951541</v>
      </c>
      <c r="O211">
        <v>54.14</v>
      </c>
    </row>
    <row r="212" spans="1:15">
      <c r="A212" t="s">
        <v>15</v>
      </c>
      <c r="B212" t="s">
        <v>16</v>
      </c>
      <c r="C212" s="1">
        <v>45996</v>
      </c>
      <c r="D212" s="2">
        <v>4496.8</v>
      </c>
      <c r="E212" s="2">
        <v>4519</v>
      </c>
      <c r="F212" s="2">
        <v>4544.3</v>
      </c>
      <c r="G212" s="2">
        <v>4430</v>
      </c>
      <c r="H212" s="2">
        <v>4441.7</v>
      </c>
      <c r="I212" s="2">
        <v>4443</v>
      </c>
      <c r="J212" s="2">
        <v>4467.6099999999997</v>
      </c>
      <c r="K212" s="3">
        <v>1473356</v>
      </c>
      <c r="L212" s="2">
        <v>6582376600.6999998</v>
      </c>
      <c r="M212" s="3">
        <v>72121</v>
      </c>
      <c r="N212" s="3">
        <v>850616</v>
      </c>
      <c r="O212">
        <v>57.73</v>
      </c>
    </row>
    <row r="213" spans="1:15">
      <c r="A213" t="s">
        <v>15</v>
      </c>
      <c r="B213" t="s">
        <v>16</v>
      </c>
      <c r="C213" s="1">
        <v>45995</v>
      </c>
      <c r="D213" s="2">
        <v>4436.3</v>
      </c>
      <c r="E213" s="2">
        <v>4459</v>
      </c>
      <c r="F213" s="2">
        <v>4525</v>
      </c>
      <c r="G213" s="2">
        <v>4422.3</v>
      </c>
      <c r="H213" s="2">
        <v>4520</v>
      </c>
      <c r="I213" s="2">
        <v>4496.8</v>
      </c>
      <c r="J213" s="2">
        <v>4479.25</v>
      </c>
      <c r="K213" s="3">
        <v>1020941</v>
      </c>
      <c r="L213" s="2">
        <v>4573053707.1999998</v>
      </c>
      <c r="M213" s="3">
        <v>64877</v>
      </c>
      <c r="N213" s="3">
        <v>541943</v>
      </c>
      <c r="O213">
        <v>53.08</v>
      </c>
    </row>
    <row r="214" spans="1:15">
      <c r="A214" t="s">
        <v>15</v>
      </c>
      <c r="B214" t="s">
        <v>16</v>
      </c>
      <c r="C214" s="1">
        <v>45994</v>
      </c>
      <c r="D214" s="2">
        <v>4508.5</v>
      </c>
      <c r="E214" s="2">
        <v>4517</v>
      </c>
      <c r="F214" s="2">
        <v>4525</v>
      </c>
      <c r="G214" s="2">
        <v>4420.8999999999996</v>
      </c>
      <c r="H214" s="2">
        <v>4435.1000000000004</v>
      </c>
      <c r="I214" s="2">
        <v>4436.3</v>
      </c>
      <c r="J214" s="2">
        <v>4450.5200000000004</v>
      </c>
      <c r="K214" s="3">
        <v>1027500</v>
      </c>
      <c r="L214" s="2">
        <v>4572906991.8999996</v>
      </c>
      <c r="M214" s="3">
        <v>67794</v>
      </c>
      <c r="N214" s="3">
        <v>562215</v>
      </c>
      <c r="O214">
        <v>54.72</v>
      </c>
    </row>
    <row r="215" spans="1:15">
      <c r="A215" t="s">
        <v>15</v>
      </c>
      <c r="B215" t="s">
        <v>16</v>
      </c>
      <c r="C215" s="1">
        <v>45993</v>
      </c>
      <c r="D215" s="2">
        <v>4530.7</v>
      </c>
      <c r="E215" s="2">
        <v>4525</v>
      </c>
      <c r="F215" s="2">
        <v>4532.3</v>
      </c>
      <c r="G215" s="2">
        <v>4482.2</v>
      </c>
      <c r="H215" s="2">
        <v>4517</v>
      </c>
      <c r="I215" s="2">
        <v>4508.5</v>
      </c>
      <c r="J215" s="2">
        <v>4504.99</v>
      </c>
      <c r="K215" s="3">
        <v>652604</v>
      </c>
      <c r="L215" s="2">
        <v>2939976724.5999999</v>
      </c>
      <c r="M215" s="3">
        <v>52255</v>
      </c>
      <c r="N215" s="3">
        <v>379398</v>
      </c>
      <c r="O215">
        <v>58.14</v>
      </c>
    </row>
    <row r="216" spans="1:15">
      <c r="A216" t="s">
        <v>15</v>
      </c>
      <c r="B216" t="s">
        <v>16</v>
      </c>
      <c r="C216" s="1">
        <v>45992</v>
      </c>
      <c r="D216" s="2">
        <v>4542.3999999999996</v>
      </c>
      <c r="E216" s="2">
        <v>4562</v>
      </c>
      <c r="F216" s="2">
        <v>4584</v>
      </c>
      <c r="G216" s="2">
        <v>4501.1000000000004</v>
      </c>
      <c r="H216" s="2">
        <v>4525</v>
      </c>
      <c r="I216" s="2">
        <v>4530.7</v>
      </c>
      <c r="J216" s="2">
        <v>4532.8599999999997</v>
      </c>
      <c r="K216" s="3">
        <v>750897</v>
      </c>
      <c r="L216" s="2">
        <v>3403713710.9000001</v>
      </c>
      <c r="M216" s="3">
        <v>66090</v>
      </c>
      <c r="N216" s="3">
        <v>377733</v>
      </c>
      <c r="O216">
        <v>50.3</v>
      </c>
    </row>
    <row r="217" spans="1:15">
      <c r="A217" t="s">
        <v>15</v>
      </c>
      <c r="B217" t="s">
        <v>16</v>
      </c>
      <c r="C217" s="1">
        <v>45989</v>
      </c>
      <c r="D217" s="2">
        <v>4483.2</v>
      </c>
      <c r="E217" s="2">
        <v>4489.8999999999996</v>
      </c>
      <c r="F217" s="2">
        <v>4549</v>
      </c>
      <c r="G217" s="2">
        <v>4477</v>
      </c>
      <c r="H217" s="2">
        <v>4540</v>
      </c>
      <c r="I217" s="2">
        <v>4542.3999999999996</v>
      </c>
      <c r="J217" s="2">
        <v>4523.5600000000004</v>
      </c>
      <c r="K217" s="3">
        <v>786275</v>
      </c>
      <c r="L217" s="2">
        <v>3556760579.6999998</v>
      </c>
      <c r="M217" s="3">
        <v>56198</v>
      </c>
      <c r="N217" s="3">
        <v>397781</v>
      </c>
      <c r="O217">
        <v>50.59</v>
      </c>
    </row>
    <row r="218" spans="1:15">
      <c r="A218" t="s">
        <v>15</v>
      </c>
      <c r="B218" t="s">
        <v>16</v>
      </c>
      <c r="C218" s="1">
        <v>45988</v>
      </c>
      <c r="D218" s="2">
        <v>4517.8</v>
      </c>
      <c r="E218" s="2">
        <v>4535</v>
      </c>
      <c r="F218" s="2">
        <v>4535</v>
      </c>
      <c r="G218" s="2">
        <v>4461</v>
      </c>
      <c r="H218" s="2">
        <v>4489.8999999999996</v>
      </c>
      <c r="I218" s="2">
        <v>4483.2</v>
      </c>
      <c r="J218" s="2">
        <v>4487.62</v>
      </c>
      <c r="K218" s="3">
        <v>721812</v>
      </c>
      <c r="L218" s="2">
        <v>3239221289.4000001</v>
      </c>
      <c r="M218" s="3">
        <v>59599</v>
      </c>
      <c r="N218" s="3">
        <v>346394</v>
      </c>
      <c r="O218">
        <v>47.99</v>
      </c>
    </row>
    <row r="219" spans="1:15">
      <c r="A219" t="s">
        <v>15</v>
      </c>
      <c r="B219" t="s">
        <v>16</v>
      </c>
      <c r="C219" s="1">
        <v>45987</v>
      </c>
      <c r="D219" s="2">
        <v>4441.6000000000004</v>
      </c>
      <c r="E219" s="2">
        <v>4457</v>
      </c>
      <c r="F219" s="2">
        <v>4522</v>
      </c>
      <c r="G219" s="2">
        <v>4449.8999999999996</v>
      </c>
      <c r="H219" s="2">
        <v>4511</v>
      </c>
      <c r="I219" s="2">
        <v>4517.8</v>
      </c>
      <c r="J219" s="2">
        <v>4491.7700000000004</v>
      </c>
      <c r="K219" s="3">
        <v>717411</v>
      </c>
      <c r="L219" s="2">
        <v>3222441839.6999998</v>
      </c>
      <c r="M219" s="3">
        <v>49744</v>
      </c>
      <c r="N219" s="3">
        <v>315114</v>
      </c>
      <c r="O219">
        <v>43.92</v>
      </c>
    </row>
    <row r="220" spans="1:15">
      <c r="A220" t="s">
        <v>15</v>
      </c>
      <c r="B220" t="s">
        <v>16</v>
      </c>
      <c r="C220" s="1">
        <v>45986</v>
      </c>
      <c r="D220" s="2">
        <v>4445.1000000000004</v>
      </c>
      <c r="E220" s="2">
        <v>4450</v>
      </c>
      <c r="F220" s="2">
        <v>4477</v>
      </c>
      <c r="G220" s="2">
        <v>4430</v>
      </c>
      <c r="H220" s="2">
        <v>4440</v>
      </c>
      <c r="I220" s="2">
        <v>4441.6000000000004</v>
      </c>
      <c r="J220" s="2">
        <v>4448.71</v>
      </c>
      <c r="K220" s="3">
        <v>1197615</v>
      </c>
      <c r="L220" s="2">
        <v>5327840818.8000002</v>
      </c>
      <c r="M220" s="3">
        <v>74176</v>
      </c>
      <c r="N220" s="3">
        <v>583552</v>
      </c>
      <c r="O220">
        <v>48.73</v>
      </c>
    </row>
    <row r="221" spans="1:15">
      <c r="A221" t="s">
        <v>15</v>
      </c>
      <c r="B221" t="s">
        <v>16</v>
      </c>
      <c r="C221" s="1">
        <v>45985</v>
      </c>
      <c r="D221" s="2">
        <v>4595</v>
      </c>
      <c r="E221" s="2">
        <v>4425</v>
      </c>
      <c r="F221" s="2">
        <v>4502.5</v>
      </c>
      <c r="G221" s="2">
        <v>4405</v>
      </c>
      <c r="H221" s="2">
        <v>4440.8999999999996</v>
      </c>
      <c r="I221" s="2">
        <v>4445.1000000000004</v>
      </c>
      <c r="J221" s="2">
        <v>4450.38</v>
      </c>
      <c r="K221" s="3">
        <v>3443005</v>
      </c>
      <c r="L221" s="2">
        <v>15322664887.700001</v>
      </c>
      <c r="M221" s="3">
        <v>185401</v>
      </c>
      <c r="N221" s="3">
        <v>1416312</v>
      </c>
      <c r="O221">
        <v>41.14</v>
      </c>
    </row>
    <row r="222" spans="1:15">
      <c r="A222" t="s">
        <v>15</v>
      </c>
      <c r="B222" t="s">
        <v>16</v>
      </c>
      <c r="C222" s="1">
        <v>45982</v>
      </c>
      <c r="D222" s="2">
        <v>4716.6000000000004</v>
      </c>
      <c r="E222" s="2">
        <v>4707</v>
      </c>
      <c r="F222" s="2">
        <v>4708</v>
      </c>
      <c r="G222" s="2">
        <v>4585</v>
      </c>
      <c r="H222" s="2">
        <v>4593</v>
      </c>
      <c r="I222" s="2">
        <v>4595</v>
      </c>
      <c r="J222" s="2">
        <v>4627.93</v>
      </c>
      <c r="K222" s="3">
        <v>1158530</v>
      </c>
      <c r="L222" s="2">
        <v>5361597589.6000004</v>
      </c>
      <c r="M222" s="3">
        <v>94351</v>
      </c>
      <c r="N222" s="3">
        <v>618674</v>
      </c>
      <c r="O222">
        <v>53.4</v>
      </c>
    </row>
    <row r="223" spans="1:15">
      <c r="A223" t="s">
        <v>15</v>
      </c>
      <c r="B223" t="s">
        <v>16</v>
      </c>
      <c r="C223" s="1">
        <v>45981</v>
      </c>
      <c r="D223" s="2">
        <v>4744.2</v>
      </c>
      <c r="E223" s="2">
        <v>4763.8999999999996</v>
      </c>
      <c r="F223" s="2">
        <v>4775.8</v>
      </c>
      <c r="G223" s="2">
        <v>4710</v>
      </c>
      <c r="H223" s="2">
        <v>4729</v>
      </c>
      <c r="I223" s="2">
        <v>4716.6000000000004</v>
      </c>
      <c r="J223" s="2">
        <v>4741.2</v>
      </c>
      <c r="K223" s="3">
        <v>798346</v>
      </c>
      <c r="L223" s="2">
        <v>3785116761.9000001</v>
      </c>
      <c r="M223" s="3">
        <v>54550</v>
      </c>
      <c r="N223" s="3">
        <v>409566</v>
      </c>
      <c r="O223">
        <v>51.3</v>
      </c>
    </row>
    <row r="224" spans="1:15">
      <c r="A224" t="s">
        <v>15</v>
      </c>
      <c r="B224" t="s">
        <v>16</v>
      </c>
      <c r="C224" s="1">
        <v>45980</v>
      </c>
      <c r="D224" s="2">
        <v>4807.8999999999996</v>
      </c>
      <c r="E224" s="2">
        <v>4805</v>
      </c>
      <c r="F224" s="2">
        <v>4822.2</v>
      </c>
      <c r="G224" s="2">
        <v>4735</v>
      </c>
      <c r="H224" s="2">
        <v>4740</v>
      </c>
      <c r="I224" s="2">
        <v>4744.2</v>
      </c>
      <c r="J224" s="2">
        <v>4764.9799999999996</v>
      </c>
      <c r="K224" s="3">
        <v>847006</v>
      </c>
      <c r="L224" s="2">
        <v>4035968465.8000002</v>
      </c>
      <c r="M224" s="3">
        <v>66769</v>
      </c>
      <c r="N224" s="3">
        <v>428917</v>
      </c>
      <c r="O224">
        <v>50.64</v>
      </c>
    </row>
    <row r="225" spans="1:15">
      <c r="A225" t="s">
        <v>15</v>
      </c>
      <c r="B225" t="s">
        <v>16</v>
      </c>
      <c r="C225" s="1">
        <v>45979</v>
      </c>
      <c r="D225" s="2">
        <v>4795.2</v>
      </c>
      <c r="E225" s="2">
        <v>4814</v>
      </c>
      <c r="F225" s="2">
        <v>4857</v>
      </c>
      <c r="G225" s="2">
        <v>4788</v>
      </c>
      <c r="H225" s="2">
        <v>4815</v>
      </c>
      <c r="I225" s="2">
        <v>4807.8999999999996</v>
      </c>
      <c r="J225" s="2">
        <v>4828.6899999999996</v>
      </c>
      <c r="K225" s="3">
        <v>958797</v>
      </c>
      <c r="L225" s="2">
        <v>4629736235.3999996</v>
      </c>
      <c r="M225" s="3">
        <v>56206</v>
      </c>
      <c r="N225" s="3">
        <v>397185</v>
      </c>
      <c r="O225">
        <v>41.43</v>
      </c>
    </row>
    <row r="226" spans="1:15">
      <c r="A226" t="s">
        <v>15</v>
      </c>
      <c r="B226" t="s">
        <v>16</v>
      </c>
      <c r="C226" s="1">
        <v>45978</v>
      </c>
      <c r="D226" s="2">
        <v>4729.8</v>
      </c>
      <c r="E226" s="2">
        <v>4742</v>
      </c>
      <c r="F226" s="2">
        <v>4820</v>
      </c>
      <c r="G226" s="2">
        <v>4732.8</v>
      </c>
      <c r="H226" s="2">
        <v>4814</v>
      </c>
      <c r="I226" s="2">
        <v>4795.2</v>
      </c>
      <c r="J226" s="2">
        <v>4774.1499999999996</v>
      </c>
      <c r="K226" s="3">
        <v>1177546</v>
      </c>
      <c r="L226" s="2">
        <v>5621786757</v>
      </c>
      <c r="M226" s="3">
        <v>82723</v>
      </c>
      <c r="N226" s="3">
        <v>669632</v>
      </c>
      <c r="O226">
        <v>56.87</v>
      </c>
    </row>
    <row r="227" spans="1:15">
      <c r="A227" t="s">
        <v>15</v>
      </c>
      <c r="B227" t="s">
        <v>16</v>
      </c>
      <c r="C227" s="1">
        <v>45975</v>
      </c>
      <c r="D227" s="2">
        <v>4751</v>
      </c>
      <c r="E227" s="2">
        <v>4747</v>
      </c>
      <c r="F227" s="2">
        <v>4775</v>
      </c>
      <c r="G227" s="2">
        <v>4710.1000000000004</v>
      </c>
      <c r="H227" s="2">
        <v>4728.3999999999996</v>
      </c>
      <c r="I227" s="2">
        <v>4729.8</v>
      </c>
      <c r="J227" s="2">
        <v>4734.72</v>
      </c>
      <c r="K227" s="3">
        <v>681735</v>
      </c>
      <c r="L227" s="2">
        <v>3227824723.9000001</v>
      </c>
      <c r="M227" s="3">
        <v>45747</v>
      </c>
      <c r="N227" s="3">
        <v>326639</v>
      </c>
      <c r="O227">
        <v>47.91</v>
      </c>
    </row>
    <row r="228" spans="1:15">
      <c r="A228" t="s">
        <v>15</v>
      </c>
      <c r="B228" t="s">
        <v>16</v>
      </c>
      <c r="C228" s="1">
        <v>45974</v>
      </c>
      <c r="D228" s="2">
        <v>4748.5</v>
      </c>
      <c r="E228" s="2">
        <v>4736</v>
      </c>
      <c r="F228" s="2">
        <v>4771.2</v>
      </c>
      <c r="G228" s="2">
        <v>4636.7</v>
      </c>
      <c r="H228" s="2">
        <v>4745.2</v>
      </c>
      <c r="I228" s="2">
        <v>4751</v>
      </c>
      <c r="J228" s="2">
        <v>4727.46</v>
      </c>
      <c r="K228" s="3">
        <v>1280728</v>
      </c>
      <c r="L228" s="2">
        <v>6054588920.6999998</v>
      </c>
      <c r="M228" s="3">
        <v>89282</v>
      </c>
      <c r="N228" s="3">
        <v>413854</v>
      </c>
      <c r="O228">
        <v>32.31</v>
      </c>
    </row>
    <row r="229" spans="1:15">
      <c r="A229" t="s">
        <v>15</v>
      </c>
      <c r="B229" t="s">
        <v>16</v>
      </c>
      <c r="C229" s="1">
        <v>45973</v>
      </c>
      <c r="D229" s="2">
        <v>4862.6000000000004</v>
      </c>
      <c r="E229" s="2">
        <v>4885</v>
      </c>
      <c r="F229" s="2">
        <v>4921</v>
      </c>
      <c r="G229" s="2">
        <v>4702</v>
      </c>
      <c r="H229" s="2">
        <v>4732.7</v>
      </c>
      <c r="I229" s="2">
        <v>4748.5</v>
      </c>
      <c r="J229" s="2">
        <v>4801.78</v>
      </c>
      <c r="K229" s="3">
        <v>2723105</v>
      </c>
      <c r="L229" s="2">
        <v>13075762803.9</v>
      </c>
      <c r="M229" s="3">
        <v>145879</v>
      </c>
      <c r="N229" s="3">
        <v>1080535</v>
      </c>
      <c r="O229">
        <v>39.68</v>
      </c>
    </row>
    <row r="230" spans="1:15">
      <c r="A230" t="s">
        <v>15</v>
      </c>
      <c r="B230" t="s">
        <v>16</v>
      </c>
      <c r="C230" s="1">
        <v>45972</v>
      </c>
      <c r="D230" s="2">
        <v>4789.8</v>
      </c>
      <c r="E230" s="2">
        <v>4795.1000000000004</v>
      </c>
      <c r="F230" s="2">
        <v>4878</v>
      </c>
      <c r="G230" s="2">
        <v>4787</v>
      </c>
      <c r="H230" s="2">
        <v>4860</v>
      </c>
      <c r="I230" s="2">
        <v>4862.6000000000004</v>
      </c>
      <c r="J230" s="2">
        <v>4850.41</v>
      </c>
      <c r="K230" s="3">
        <v>1333303</v>
      </c>
      <c r="L230" s="2">
        <v>6467064412.3000002</v>
      </c>
      <c r="M230" s="3">
        <v>90228</v>
      </c>
      <c r="N230" s="3">
        <v>593461</v>
      </c>
      <c r="O230">
        <v>44.51</v>
      </c>
    </row>
    <row r="231" spans="1:15">
      <c r="A231" t="s">
        <v>15</v>
      </c>
      <c r="B231" t="s">
        <v>16</v>
      </c>
      <c r="C231" s="1">
        <v>45971</v>
      </c>
      <c r="D231" s="2">
        <v>4626.6000000000004</v>
      </c>
      <c r="E231" s="2">
        <v>4651.1000000000004</v>
      </c>
      <c r="F231" s="2">
        <v>4795</v>
      </c>
      <c r="G231" s="2">
        <v>4645</v>
      </c>
      <c r="H231" s="2">
        <v>4787</v>
      </c>
      <c r="I231" s="2">
        <v>4789.8</v>
      </c>
      <c r="J231" s="2">
        <v>4753.79</v>
      </c>
      <c r="K231" s="3">
        <v>1434763</v>
      </c>
      <c r="L231" s="2">
        <v>6820564832.3999996</v>
      </c>
      <c r="M231" s="3">
        <v>91341</v>
      </c>
      <c r="N231" s="3">
        <v>549156</v>
      </c>
      <c r="O231">
        <v>38.28</v>
      </c>
    </row>
    <row r="232" spans="1:15">
      <c r="A232" t="s">
        <v>15</v>
      </c>
      <c r="B232" t="s">
        <v>16</v>
      </c>
      <c r="C232" s="1">
        <v>45968</v>
      </c>
      <c r="D232" s="2">
        <v>4593.6000000000004</v>
      </c>
      <c r="E232" s="2">
        <v>4580</v>
      </c>
      <c r="F232" s="2">
        <v>4636.5</v>
      </c>
      <c r="G232" s="2">
        <v>4526</v>
      </c>
      <c r="H232" s="2">
        <v>4632</v>
      </c>
      <c r="I232" s="2">
        <v>4626.6000000000004</v>
      </c>
      <c r="J232" s="2">
        <v>4584.74</v>
      </c>
      <c r="K232" s="3">
        <v>536730</v>
      </c>
      <c r="L232" s="2">
        <v>2460769008.3000002</v>
      </c>
      <c r="M232" s="3">
        <v>41381</v>
      </c>
      <c r="N232" s="3">
        <v>180272</v>
      </c>
      <c r="O232">
        <v>33.590000000000003</v>
      </c>
    </row>
    <row r="233" spans="1:15">
      <c r="A233" t="s">
        <v>15</v>
      </c>
      <c r="B233" t="s">
        <v>16</v>
      </c>
      <c r="C233" s="1">
        <v>45967</v>
      </c>
      <c r="D233" s="2">
        <v>4685.8</v>
      </c>
      <c r="E233" s="2">
        <v>4650</v>
      </c>
      <c r="F233" s="2">
        <v>4686.6000000000004</v>
      </c>
      <c r="G233" s="2">
        <v>4575</v>
      </c>
      <c r="H233" s="2">
        <v>4590</v>
      </c>
      <c r="I233" s="2">
        <v>4593.6000000000004</v>
      </c>
      <c r="J233" s="2">
        <v>4624.1099999999997</v>
      </c>
      <c r="K233" s="3">
        <v>768664</v>
      </c>
      <c r="L233" s="2">
        <v>3554384857.9000001</v>
      </c>
      <c r="M233" s="3">
        <v>62925</v>
      </c>
      <c r="N233" s="3">
        <v>444609</v>
      </c>
      <c r="O233">
        <v>57.84</v>
      </c>
    </row>
    <row r="234" spans="1:15">
      <c r="A234" t="s">
        <v>15</v>
      </c>
      <c r="B234" t="s">
        <v>16</v>
      </c>
      <c r="C234" s="1">
        <v>45965</v>
      </c>
      <c r="D234" s="2">
        <v>4694.7</v>
      </c>
      <c r="E234" s="2">
        <v>4670.1000000000004</v>
      </c>
      <c r="F234" s="2">
        <v>4715</v>
      </c>
      <c r="G234" s="2">
        <v>4670.1000000000004</v>
      </c>
      <c r="H234" s="2">
        <v>4679</v>
      </c>
      <c r="I234" s="2">
        <v>4685.8</v>
      </c>
      <c r="J234" s="2">
        <v>4697.1000000000004</v>
      </c>
      <c r="K234" s="3">
        <v>851904</v>
      </c>
      <c r="L234" s="2">
        <v>4001475386.6999998</v>
      </c>
      <c r="M234" s="3">
        <v>44173</v>
      </c>
      <c r="N234" s="3">
        <v>565047</v>
      </c>
      <c r="O234">
        <v>66.33</v>
      </c>
    </row>
    <row r="235" spans="1:15">
      <c r="A235" t="s">
        <v>15</v>
      </c>
      <c r="B235" t="s">
        <v>16</v>
      </c>
      <c r="C235" s="1">
        <v>45964</v>
      </c>
      <c r="D235" s="2">
        <v>4679.8</v>
      </c>
      <c r="E235" s="2">
        <v>4680</v>
      </c>
      <c r="F235" s="2">
        <v>4709</v>
      </c>
      <c r="G235" s="2">
        <v>4655.3999999999996</v>
      </c>
      <c r="H235" s="2">
        <v>4698</v>
      </c>
      <c r="I235" s="2">
        <v>4694.7</v>
      </c>
      <c r="J235" s="2">
        <v>4682.17</v>
      </c>
      <c r="K235" s="3">
        <v>470190</v>
      </c>
      <c r="L235" s="2">
        <v>2201509912.0999999</v>
      </c>
      <c r="M235" s="3">
        <v>48862</v>
      </c>
      <c r="N235" s="3">
        <v>208582</v>
      </c>
      <c r="O235">
        <v>44.36</v>
      </c>
    </row>
    <row r="236" spans="1:15">
      <c r="A236" t="s">
        <v>15</v>
      </c>
      <c r="B236" t="s">
        <v>16</v>
      </c>
      <c r="C236" s="1">
        <v>45961</v>
      </c>
      <c r="D236" s="2">
        <v>4650.2</v>
      </c>
      <c r="E236" s="2">
        <v>4639.8999999999996</v>
      </c>
      <c r="F236" s="2">
        <v>4708.6000000000004</v>
      </c>
      <c r="G236" s="2">
        <v>4636.8999999999996</v>
      </c>
      <c r="H236" s="2">
        <v>4689</v>
      </c>
      <c r="I236" s="2">
        <v>4679.8</v>
      </c>
      <c r="J236" s="2">
        <v>4681.93</v>
      </c>
      <c r="K236" s="3">
        <v>1176002</v>
      </c>
      <c r="L236" s="2">
        <v>5505963508.5</v>
      </c>
      <c r="M236" s="3">
        <v>67037</v>
      </c>
      <c r="N236" s="3">
        <v>660389</v>
      </c>
      <c r="O236">
        <v>56.16</v>
      </c>
    </row>
    <row r="237" spans="1:15">
      <c r="A237" t="s">
        <v>15</v>
      </c>
      <c r="B237" t="s">
        <v>16</v>
      </c>
      <c r="C237" s="1">
        <v>45960</v>
      </c>
      <c r="D237" s="2">
        <v>4695.1000000000004</v>
      </c>
      <c r="E237" s="2">
        <v>4693</v>
      </c>
      <c r="F237" s="2">
        <v>4694</v>
      </c>
      <c r="G237" s="2">
        <v>4625</v>
      </c>
      <c r="H237" s="2">
        <v>4649</v>
      </c>
      <c r="I237" s="2">
        <v>4650.2</v>
      </c>
      <c r="J237" s="2">
        <v>4652.2299999999996</v>
      </c>
      <c r="K237" s="3">
        <v>1151821</v>
      </c>
      <c r="L237" s="2">
        <v>5358533863.8000002</v>
      </c>
      <c r="M237" s="3">
        <v>73601</v>
      </c>
      <c r="N237" s="3">
        <v>634439</v>
      </c>
      <c r="O237">
        <v>55.08</v>
      </c>
    </row>
    <row r="238" spans="1:15">
      <c r="A238" t="s">
        <v>15</v>
      </c>
      <c r="B238" t="s">
        <v>16</v>
      </c>
      <c r="C238" s="1">
        <v>45959</v>
      </c>
      <c r="D238" s="2">
        <v>4724.5</v>
      </c>
      <c r="E238" s="2">
        <v>4737.8999999999996</v>
      </c>
      <c r="F238" s="2">
        <v>4745</v>
      </c>
      <c r="G238" s="2">
        <v>4685</v>
      </c>
      <c r="H238" s="2">
        <v>4700</v>
      </c>
      <c r="I238" s="2">
        <v>4695.1000000000004</v>
      </c>
      <c r="J238" s="2">
        <v>4708.3500000000004</v>
      </c>
      <c r="K238" s="3">
        <v>916228</v>
      </c>
      <c r="L238" s="2">
        <v>4313921915.8999996</v>
      </c>
      <c r="M238" s="3">
        <v>55301</v>
      </c>
      <c r="N238" s="3">
        <v>546756</v>
      </c>
      <c r="O238">
        <v>59.67</v>
      </c>
    </row>
    <row r="239" spans="1:15">
      <c r="A239" t="s">
        <v>15</v>
      </c>
      <c r="B239" t="s">
        <v>16</v>
      </c>
      <c r="C239" s="1">
        <v>45958</v>
      </c>
      <c r="D239" s="2">
        <v>4756.8</v>
      </c>
      <c r="E239" s="2">
        <v>4766.6000000000004</v>
      </c>
      <c r="F239" s="2">
        <v>4767.6000000000004</v>
      </c>
      <c r="G239" s="2">
        <v>4706.3</v>
      </c>
      <c r="H239" s="2">
        <v>4727.8999999999996</v>
      </c>
      <c r="I239" s="2">
        <v>4724.5</v>
      </c>
      <c r="J239" s="2">
        <v>4729.8599999999997</v>
      </c>
      <c r="K239" s="3">
        <v>947982</v>
      </c>
      <c r="L239" s="2">
        <v>4483819062.1999998</v>
      </c>
      <c r="M239" s="3">
        <v>86763</v>
      </c>
      <c r="N239" s="3">
        <v>503240</v>
      </c>
      <c r="O239">
        <v>53.09</v>
      </c>
    </row>
    <row r="240" spans="1:15">
      <c r="A240" t="s">
        <v>15</v>
      </c>
      <c r="B240" t="s">
        <v>16</v>
      </c>
      <c r="C240" s="1">
        <v>45957</v>
      </c>
      <c r="D240" s="2">
        <v>4814.2</v>
      </c>
      <c r="E240" s="2">
        <v>4830</v>
      </c>
      <c r="F240" s="2">
        <v>4830</v>
      </c>
      <c r="G240" s="2">
        <v>4747.8</v>
      </c>
      <c r="H240" s="2">
        <v>4757.6000000000004</v>
      </c>
      <c r="I240" s="2">
        <v>4756.8</v>
      </c>
      <c r="J240" s="2">
        <v>4775.88</v>
      </c>
      <c r="K240" s="3">
        <v>738996</v>
      </c>
      <c r="L240" s="2">
        <v>3529359217.6999998</v>
      </c>
      <c r="M240" s="3">
        <v>49343</v>
      </c>
      <c r="N240" s="3">
        <v>387041</v>
      </c>
      <c r="O240">
        <v>52.37</v>
      </c>
    </row>
    <row r="241" spans="1:15">
      <c r="A241" t="s">
        <v>15</v>
      </c>
      <c r="B241" t="s">
        <v>16</v>
      </c>
      <c r="C241" s="1">
        <v>45954</v>
      </c>
      <c r="D241" s="2">
        <v>4810.2</v>
      </c>
      <c r="E241" s="2">
        <v>4825</v>
      </c>
      <c r="F241" s="2">
        <v>4867.3999999999996</v>
      </c>
      <c r="G241" s="2">
        <v>4797.5</v>
      </c>
      <c r="H241" s="2">
        <v>4812.1000000000004</v>
      </c>
      <c r="I241" s="2">
        <v>4814.2</v>
      </c>
      <c r="J241" s="2">
        <v>4825.22</v>
      </c>
      <c r="K241" s="3">
        <v>627200</v>
      </c>
      <c r="L241" s="2">
        <v>3026377314.9000001</v>
      </c>
      <c r="M241" s="3">
        <v>43857</v>
      </c>
      <c r="N241" s="3">
        <v>179711</v>
      </c>
      <c r="O241">
        <v>28.65</v>
      </c>
    </row>
    <row r="242" spans="1:15">
      <c r="A242" t="s">
        <v>15</v>
      </c>
      <c r="B242" t="s">
        <v>16</v>
      </c>
      <c r="C242" s="1">
        <v>45953</v>
      </c>
      <c r="D242" s="2">
        <v>4858.2</v>
      </c>
      <c r="E242" s="2">
        <v>4880.8</v>
      </c>
      <c r="F242" s="2">
        <v>4885</v>
      </c>
      <c r="G242" s="2">
        <v>4802.8999999999996</v>
      </c>
      <c r="H242" s="2">
        <v>4813.3999999999996</v>
      </c>
      <c r="I242" s="2">
        <v>4810.2</v>
      </c>
      <c r="J242" s="2">
        <v>4843.17</v>
      </c>
      <c r="K242" s="3">
        <v>678729</v>
      </c>
      <c r="L242" s="2">
        <v>3287196720.6999998</v>
      </c>
      <c r="M242" s="3">
        <v>60064</v>
      </c>
      <c r="N242" s="3">
        <v>368503</v>
      </c>
      <c r="O242">
        <v>54.29</v>
      </c>
    </row>
    <row r="243" spans="1:15">
      <c r="A243" t="s">
        <v>15</v>
      </c>
      <c r="B243" t="s">
        <v>16</v>
      </c>
      <c r="C243" s="1">
        <v>45951</v>
      </c>
      <c r="D243" s="2">
        <v>4860</v>
      </c>
      <c r="E243" s="2">
        <v>4880.8</v>
      </c>
      <c r="F243" s="2">
        <v>4880.8</v>
      </c>
      <c r="G243" s="2">
        <v>4850.5</v>
      </c>
      <c r="H243" s="2">
        <v>4852</v>
      </c>
      <c r="I243" s="2">
        <v>4858.2</v>
      </c>
      <c r="J243" s="2">
        <v>4864.4399999999996</v>
      </c>
      <c r="K243" s="3">
        <v>128987</v>
      </c>
      <c r="L243" s="2">
        <v>627450117.5</v>
      </c>
      <c r="M243" s="3">
        <v>13282</v>
      </c>
      <c r="N243" s="3">
        <v>69974</v>
      </c>
      <c r="O243">
        <v>54.28</v>
      </c>
    </row>
    <row r="244" spans="1:15">
      <c r="A244" t="s">
        <v>15</v>
      </c>
      <c r="B244" t="s">
        <v>16</v>
      </c>
      <c r="C244" s="1">
        <v>45950</v>
      </c>
      <c r="D244" s="2">
        <v>4878.5</v>
      </c>
      <c r="E244" s="2">
        <v>4921.8999999999996</v>
      </c>
      <c r="F244" s="2">
        <v>4923</v>
      </c>
      <c r="G244" s="2">
        <v>4850.5</v>
      </c>
      <c r="H244" s="2">
        <v>4861.3999999999996</v>
      </c>
      <c r="I244" s="2">
        <v>4860</v>
      </c>
      <c r="J244" s="2">
        <v>4878.04</v>
      </c>
      <c r="K244" s="3">
        <v>616095</v>
      </c>
      <c r="L244" s="2">
        <v>3005338394.4000001</v>
      </c>
      <c r="M244" s="3">
        <v>61193</v>
      </c>
      <c r="N244" s="3">
        <v>325571</v>
      </c>
      <c r="O244">
        <v>52.84</v>
      </c>
    </row>
    <row r="245" spans="1:15">
      <c r="A245" t="s">
        <v>15</v>
      </c>
      <c r="B245" t="s">
        <v>16</v>
      </c>
      <c r="C245" s="1">
        <v>45947</v>
      </c>
      <c r="D245" s="2">
        <v>4861.3</v>
      </c>
      <c r="E245" s="2">
        <v>4861.3</v>
      </c>
      <c r="F245" s="2">
        <v>4978</v>
      </c>
      <c r="G245" s="2">
        <v>4850.7</v>
      </c>
      <c r="H245" s="2">
        <v>4873.8</v>
      </c>
      <c r="I245" s="2">
        <v>4878.5</v>
      </c>
      <c r="J245" s="2">
        <v>4933.1000000000004</v>
      </c>
      <c r="K245" s="3">
        <v>1832920</v>
      </c>
      <c r="L245" s="2">
        <v>9041981262</v>
      </c>
      <c r="M245" s="3">
        <v>110879</v>
      </c>
      <c r="N245" s="3">
        <v>815070</v>
      </c>
      <c r="O245">
        <v>44.47</v>
      </c>
    </row>
    <row r="246" spans="1:15">
      <c r="A246" t="s">
        <v>15</v>
      </c>
      <c r="B246" t="s">
        <v>16</v>
      </c>
      <c r="C246" s="1">
        <v>45946</v>
      </c>
      <c r="D246" s="2">
        <v>4845.2</v>
      </c>
      <c r="E246" s="2">
        <v>4860</v>
      </c>
      <c r="F246" s="2">
        <v>4888.7</v>
      </c>
      <c r="G246" s="2">
        <v>4827.2</v>
      </c>
      <c r="H246" s="2">
        <v>4863</v>
      </c>
      <c r="I246" s="2">
        <v>4861.3</v>
      </c>
      <c r="J246" s="2">
        <v>4859.34</v>
      </c>
      <c r="K246" s="3">
        <v>721461</v>
      </c>
      <c r="L246" s="2">
        <v>3505824178.0999999</v>
      </c>
      <c r="M246" s="3">
        <v>62411</v>
      </c>
      <c r="N246" s="3">
        <v>416011</v>
      </c>
      <c r="O246">
        <v>57.66</v>
      </c>
    </row>
    <row r="247" spans="1:15">
      <c r="A247" t="s">
        <v>15</v>
      </c>
      <c r="B247" t="s">
        <v>16</v>
      </c>
      <c r="C247" s="1">
        <v>45945</v>
      </c>
      <c r="D247" s="2">
        <v>4746.8</v>
      </c>
      <c r="E247" s="2">
        <v>4747</v>
      </c>
      <c r="F247" s="2">
        <v>4880</v>
      </c>
      <c r="G247" s="2">
        <v>4747</v>
      </c>
      <c r="H247" s="2">
        <v>4839.7</v>
      </c>
      <c r="I247" s="2">
        <v>4845.2</v>
      </c>
      <c r="J247" s="2">
        <v>4826.9799999999996</v>
      </c>
      <c r="K247" s="3">
        <v>991768</v>
      </c>
      <c r="L247" s="2">
        <v>4787247494.3000002</v>
      </c>
      <c r="M247" s="3">
        <v>75117</v>
      </c>
      <c r="N247" s="3">
        <v>505641</v>
      </c>
      <c r="O247">
        <v>50.98</v>
      </c>
    </row>
    <row r="248" spans="1:15">
      <c r="A248" t="s">
        <v>15</v>
      </c>
      <c r="B248" t="s">
        <v>16</v>
      </c>
      <c r="C248" s="1">
        <v>45944</v>
      </c>
      <c r="D248" s="2">
        <v>4745.3999999999996</v>
      </c>
      <c r="E248" s="2">
        <v>4755</v>
      </c>
      <c r="F248" s="2">
        <v>4793.8999999999996</v>
      </c>
      <c r="G248" s="2">
        <v>4730.1000000000004</v>
      </c>
      <c r="H248" s="2">
        <v>4741</v>
      </c>
      <c r="I248" s="2">
        <v>4746.8</v>
      </c>
      <c r="J248" s="2">
        <v>4756.37</v>
      </c>
      <c r="K248" s="3">
        <v>790981</v>
      </c>
      <c r="L248" s="2">
        <v>3762198189.5</v>
      </c>
      <c r="M248" s="3">
        <v>62350</v>
      </c>
      <c r="N248" s="3">
        <v>466996</v>
      </c>
      <c r="O248">
        <v>59.04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1372-074F-48C1-80DC-5F8F35ABA848}">
  <dimension ref="A1:H248"/>
  <sheetViews>
    <sheetView workbookViewId="0">
      <selection activeCell="M7" sqref="M7"/>
    </sheetView>
  </sheetViews>
  <sheetFormatPr defaultRowHeight="14.45"/>
  <cols>
    <col min="1" max="1" width="12.140625" customWidth="1"/>
    <col min="2" max="2" width="11.28515625" customWidth="1"/>
    <col min="3" max="3" width="11.5703125" customWidth="1"/>
    <col min="5" max="5" width="19.5703125" customWidth="1"/>
    <col min="6" max="6" width="10.28515625" style="4" customWidth="1"/>
    <col min="7" max="7" width="14.7109375" customWidth="1"/>
    <col min="8" max="8" width="13.7109375" customWidth="1"/>
  </cols>
  <sheetData>
    <row r="1" spans="1:8">
      <c r="A1" s="10" t="s">
        <v>2</v>
      </c>
      <c r="B1" s="10" t="s">
        <v>8</v>
      </c>
      <c r="C1" s="12" t="s">
        <v>17</v>
      </c>
      <c r="E1" s="10" t="s">
        <v>18</v>
      </c>
      <c r="F1" s="11" t="s">
        <v>19</v>
      </c>
      <c r="G1" s="13" t="s">
        <v>20</v>
      </c>
      <c r="H1" s="16" t="s">
        <v>21</v>
      </c>
    </row>
    <row r="2" spans="1:8">
      <c r="A2" s="17">
        <v>45944</v>
      </c>
      <c r="B2" s="18">
        <v>4746.8</v>
      </c>
      <c r="C2" s="19"/>
      <c r="E2" s="7" t="s">
        <v>22</v>
      </c>
      <c r="F2" s="8">
        <f>INDEX($A$3:$A$260,MATCH(G2,$C$3:$C$260,0))</f>
        <v>46050</v>
      </c>
      <c r="G2" s="14">
        <f>LARGE($C$3:$C$260,1)</f>
        <v>6.3355179947108198</v>
      </c>
      <c r="H2" s="7">
        <f>INDEX('14-10-2025-TO-14-10-2026-HAL-AL'!K:K,MATCH(F2,'14-10-2025-TO-14-10-2026-HAL-AL'!C:C,0))</f>
        <v>1837685</v>
      </c>
    </row>
    <row r="3" spans="1:8">
      <c r="A3" s="17">
        <v>45945</v>
      </c>
      <c r="B3" s="18">
        <v>4845.2</v>
      </c>
      <c r="C3" s="19">
        <f>(B3-B2)/B2 * 100</f>
        <v>2.0729754782168963</v>
      </c>
      <c r="E3" s="7" t="s">
        <v>22</v>
      </c>
      <c r="F3" s="8">
        <f t="shared" ref="F3:F11" si="0">INDEX($A$3:$A$260,MATCH(G3,$C$3:$C$260,0))</f>
        <v>46240</v>
      </c>
      <c r="G3" s="14">
        <f>LARGE($C$3:$C$260,2)</f>
        <v>5.9203444564047363</v>
      </c>
      <c r="H3" s="7">
        <f>INDEX('14-10-2025-TO-14-10-2026-HAL-AL'!K:K,MATCH(F3,'14-10-2025-TO-14-10-2026-HAL-AL'!C:C,0))</f>
        <v>4796689</v>
      </c>
    </row>
    <row r="4" spans="1:8">
      <c r="A4" s="17">
        <v>45946</v>
      </c>
      <c r="B4" s="18">
        <v>4861.3</v>
      </c>
      <c r="C4" s="19">
        <f t="shared" ref="C4:C67" si="1">(B4-B3)/B3 * 100</f>
        <v>0.33228762486585417</v>
      </c>
      <c r="E4" s="7" t="s">
        <v>22</v>
      </c>
      <c r="F4" s="8">
        <f t="shared" si="0"/>
        <v>46113</v>
      </c>
      <c r="G4" s="14">
        <f>LARGE($C$3:$C$260,3)</f>
        <v>5.2649690295939546</v>
      </c>
      <c r="H4" s="7">
        <f>INDEX('14-10-2025-TO-14-10-2026-HAL-AL'!K:K,MATCH(F4,'14-10-2025-TO-14-10-2026-HAL-AL'!C:C,0))</f>
        <v>2246768</v>
      </c>
    </row>
    <row r="5" spans="1:8">
      <c r="A5" s="17">
        <v>45947</v>
      </c>
      <c r="B5" s="18">
        <v>4878.5</v>
      </c>
      <c r="C5" s="19">
        <f t="shared" si="1"/>
        <v>0.35381482319543783</v>
      </c>
      <c r="E5" s="7" t="s">
        <v>22</v>
      </c>
      <c r="F5" s="8">
        <f t="shared" si="0"/>
        <v>46146</v>
      </c>
      <c r="G5" s="14">
        <f>LARGE($C$3:$C$260,4)</f>
        <v>5.0866599059647788</v>
      </c>
      <c r="H5" s="7">
        <f>INDEX('14-10-2025-TO-14-10-2026-HAL-AL'!K:K,MATCH(F5,'14-10-2025-TO-14-10-2026-HAL-AL'!C:C,0))</f>
        <v>2841170</v>
      </c>
    </row>
    <row r="6" spans="1:8">
      <c r="A6" s="17">
        <v>45950</v>
      </c>
      <c r="B6" s="18">
        <v>4860</v>
      </c>
      <c r="C6" s="19">
        <f t="shared" si="1"/>
        <v>-0.37921492261965772</v>
      </c>
      <c r="E6" s="7" t="s">
        <v>22</v>
      </c>
      <c r="F6" s="8">
        <f t="shared" si="0"/>
        <v>46190</v>
      </c>
      <c r="G6" s="14">
        <f>LARGE($C$3:$C$260,5)</f>
        <v>4.8099064805676912</v>
      </c>
      <c r="H6" s="7">
        <f>INDEX('14-10-2025-TO-14-10-2026-HAL-AL'!K:K,MATCH(F6,'14-10-2025-TO-14-10-2026-HAL-AL'!C:C,0))</f>
        <v>1421845</v>
      </c>
    </row>
    <row r="7" spans="1:8">
      <c r="A7" s="17">
        <v>45951</v>
      </c>
      <c r="B7" s="18">
        <v>4858.2</v>
      </c>
      <c r="C7" s="19">
        <f t="shared" si="1"/>
        <v>-3.7037037037040782E-2</v>
      </c>
      <c r="E7" s="5" t="s">
        <v>23</v>
      </c>
      <c r="F7" s="6">
        <f t="shared" si="0"/>
        <v>46057</v>
      </c>
      <c r="G7" s="15">
        <f>SMALL($C$3:$C$260,1)</f>
        <v>-5.6661596277737853</v>
      </c>
      <c r="H7" s="5">
        <f>INDEX('14-10-2025-TO-14-10-2026-HAL-AL'!K:K,MATCH(F7,'14-10-2025-TO-14-10-2026-HAL-AL'!C:C,0))</f>
        <v>5290920</v>
      </c>
    </row>
    <row r="8" spans="1:8">
      <c r="A8" s="17">
        <v>45953</v>
      </c>
      <c r="B8" s="18">
        <v>4810.2</v>
      </c>
      <c r="C8" s="19">
        <f t="shared" si="1"/>
        <v>-0.98802025441521546</v>
      </c>
      <c r="E8" s="5" t="s">
        <v>23</v>
      </c>
      <c r="F8" s="6">
        <f t="shared" si="0"/>
        <v>46054</v>
      </c>
      <c r="G8" s="15">
        <f>SMALL($C$3:$C$260,2)</f>
        <v>-5.2495995150885397</v>
      </c>
      <c r="H8" s="5">
        <f>INDEX('14-10-2025-TO-14-10-2026-HAL-AL'!K:K,MATCH(F8,'14-10-2025-TO-14-10-2026-HAL-AL'!C:C,0))</f>
        <v>4034039</v>
      </c>
    </row>
    <row r="9" spans="1:8">
      <c r="A9" s="17">
        <v>45954</v>
      </c>
      <c r="B9" s="18">
        <v>4814.2</v>
      </c>
      <c r="C9" s="19">
        <f t="shared" si="1"/>
        <v>8.3156625504137049E-2</v>
      </c>
      <c r="E9" s="5" t="s">
        <v>23</v>
      </c>
      <c r="F9" s="6">
        <f t="shared" si="0"/>
        <v>46157</v>
      </c>
      <c r="G9" s="15">
        <f>SMALL($C$3:$C$260,3)</f>
        <v>-4.8133680555555589</v>
      </c>
      <c r="H9" s="5">
        <f>INDEX('14-10-2025-TO-14-10-2026-HAL-AL'!K:K,MATCH(F9,'14-10-2025-TO-14-10-2026-HAL-AL'!C:C,0))</f>
        <v>2201976</v>
      </c>
    </row>
    <row r="10" spans="1:8">
      <c r="A10" s="17">
        <v>45957</v>
      </c>
      <c r="B10" s="18">
        <v>4756.8</v>
      </c>
      <c r="C10" s="19">
        <f t="shared" si="1"/>
        <v>-1.1923060944705173</v>
      </c>
      <c r="E10" s="5" t="s">
        <v>23</v>
      </c>
      <c r="F10" s="6">
        <f t="shared" si="0"/>
        <v>46058</v>
      </c>
      <c r="G10" s="15">
        <f>SMALL($C$3:$C$260,4)</f>
        <v>-4.3062768253064991</v>
      </c>
      <c r="H10" s="5">
        <f>INDEX('14-10-2025-TO-14-10-2026-HAL-AL'!K:K,MATCH(F10,'14-10-2025-TO-14-10-2026-HAL-AL'!C:C,0))</f>
        <v>6343724</v>
      </c>
    </row>
    <row r="11" spans="1:8">
      <c r="A11" s="17">
        <v>45958</v>
      </c>
      <c r="B11" s="18">
        <v>4724.5</v>
      </c>
      <c r="C11" s="19">
        <f t="shared" si="1"/>
        <v>-0.67902791792802264</v>
      </c>
      <c r="E11" s="5" t="s">
        <v>23</v>
      </c>
      <c r="F11" s="6">
        <f t="shared" si="0"/>
        <v>46280</v>
      </c>
      <c r="G11" s="15">
        <f>SMALL($C$3:$C$260,5)</f>
        <v>-4.281345565749235</v>
      </c>
      <c r="H11" s="5">
        <f>INDEX('14-10-2025-TO-14-10-2026-HAL-AL'!K:K,MATCH(F11,'14-10-2025-TO-14-10-2026-HAL-AL'!C:C,0))</f>
        <v>809202</v>
      </c>
    </row>
    <row r="12" spans="1:8">
      <c r="A12" s="17">
        <v>45959</v>
      </c>
      <c r="B12" s="18">
        <v>4695.1000000000004</v>
      </c>
      <c r="C12" s="19">
        <f t="shared" si="1"/>
        <v>-0.6222880728119301</v>
      </c>
    </row>
    <row r="13" spans="1:8">
      <c r="A13" s="17">
        <v>45960</v>
      </c>
      <c r="B13" s="18">
        <v>4650.2</v>
      </c>
      <c r="C13" s="19">
        <f t="shared" si="1"/>
        <v>-0.9563161594002374</v>
      </c>
    </row>
    <row r="14" spans="1:8">
      <c r="A14" s="17">
        <v>45961</v>
      </c>
      <c r="B14" s="18">
        <v>4679.8</v>
      </c>
      <c r="C14" s="19">
        <f t="shared" si="1"/>
        <v>0.63653176207475726</v>
      </c>
    </row>
    <row r="15" spans="1:8">
      <c r="A15" s="17">
        <v>45964</v>
      </c>
      <c r="B15" s="18">
        <v>4694.7</v>
      </c>
      <c r="C15" s="19">
        <f t="shared" si="1"/>
        <v>0.31838967477241836</v>
      </c>
    </row>
    <row r="16" spans="1:8">
      <c r="A16" s="17">
        <v>45965</v>
      </c>
      <c r="B16" s="18">
        <v>4685.8</v>
      </c>
      <c r="C16" s="19">
        <f t="shared" si="1"/>
        <v>-0.1895754787313276</v>
      </c>
    </row>
    <row r="17" spans="1:3">
      <c r="A17" s="17">
        <v>45967</v>
      </c>
      <c r="B17" s="18">
        <v>4593.6000000000004</v>
      </c>
      <c r="C17" s="19">
        <f t="shared" si="1"/>
        <v>-1.9676469332878019</v>
      </c>
    </row>
    <row r="18" spans="1:3">
      <c r="A18" s="17">
        <v>45968</v>
      </c>
      <c r="B18" s="18">
        <v>4626.6000000000004</v>
      </c>
      <c r="C18" s="19">
        <f t="shared" si="1"/>
        <v>0.7183908045977011</v>
      </c>
    </row>
    <row r="19" spans="1:3">
      <c r="A19" s="17">
        <v>45971</v>
      </c>
      <c r="B19" s="18">
        <v>4789.8</v>
      </c>
      <c r="C19" s="19">
        <f t="shared" si="1"/>
        <v>3.5274283491116547</v>
      </c>
    </row>
    <row r="20" spans="1:3">
      <c r="A20" s="17">
        <v>45972</v>
      </c>
      <c r="B20" s="18">
        <v>4862.6000000000004</v>
      </c>
      <c r="C20" s="19">
        <f t="shared" si="1"/>
        <v>1.519896446615729</v>
      </c>
    </row>
    <row r="21" spans="1:3">
      <c r="A21" s="17">
        <v>45973</v>
      </c>
      <c r="B21" s="18">
        <v>4748.5</v>
      </c>
      <c r="C21" s="19">
        <f t="shared" si="1"/>
        <v>-2.3464813062970502</v>
      </c>
    </row>
    <row r="22" spans="1:3">
      <c r="A22" s="17">
        <v>45974</v>
      </c>
      <c r="B22" s="18">
        <v>4751</v>
      </c>
      <c r="C22" s="19">
        <f t="shared" si="1"/>
        <v>5.2648204696219857E-2</v>
      </c>
    </row>
    <row r="23" spans="1:3">
      <c r="A23" s="17">
        <v>45975</v>
      </c>
      <c r="B23" s="18">
        <v>4729.8</v>
      </c>
      <c r="C23" s="19">
        <f t="shared" si="1"/>
        <v>-0.44622184803198944</v>
      </c>
    </row>
    <row r="24" spans="1:3">
      <c r="A24" s="17">
        <v>45978</v>
      </c>
      <c r="B24" s="18">
        <v>4795.2</v>
      </c>
      <c r="C24" s="19">
        <f t="shared" si="1"/>
        <v>1.382722313839901</v>
      </c>
    </row>
    <row r="25" spans="1:3">
      <c r="A25" s="17">
        <v>45979</v>
      </c>
      <c r="B25" s="18">
        <v>4807.8999999999996</v>
      </c>
      <c r="C25" s="19">
        <f t="shared" si="1"/>
        <v>0.26484818151484441</v>
      </c>
    </row>
    <row r="26" spans="1:3">
      <c r="A26" s="17">
        <v>45980</v>
      </c>
      <c r="B26" s="18">
        <v>4744.2</v>
      </c>
      <c r="C26" s="19">
        <f t="shared" si="1"/>
        <v>-1.3249027642005828</v>
      </c>
    </row>
    <row r="27" spans="1:3">
      <c r="A27" s="17">
        <v>45981</v>
      </c>
      <c r="B27" s="18">
        <v>4716.6000000000004</v>
      </c>
      <c r="C27" s="19">
        <f t="shared" si="1"/>
        <v>-0.58176299481470972</v>
      </c>
    </row>
    <row r="28" spans="1:3">
      <c r="A28" s="17">
        <v>45982</v>
      </c>
      <c r="B28" s="18">
        <v>4595</v>
      </c>
      <c r="C28" s="19">
        <f t="shared" si="1"/>
        <v>-2.5781283127676793</v>
      </c>
    </row>
    <row r="29" spans="1:3">
      <c r="A29" s="17">
        <v>45985</v>
      </c>
      <c r="B29" s="18">
        <v>4445.1000000000004</v>
      </c>
      <c r="C29" s="19">
        <f t="shared" si="1"/>
        <v>-3.262241566920558</v>
      </c>
    </row>
    <row r="30" spans="1:3">
      <c r="A30" s="17">
        <v>45986</v>
      </c>
      <c r="B30" s="18">
        <v>4441.6000000000004</v>
      </c>
      <c r="C30" s="19">
        <f t="shared" si="1"/>
        <v>-7.8738386088052004E-2</v>
      </c>
    </row>
    <row r="31" spans="1:3">
      <c r="A31" s="17">
        <v>45987</v>
      </c>
      <c r="B31" s="18">
        <v>4517.8</v>
      </c>
      <c r="C31" s="19">
        <f t="shared" si="1"/>
        <v>1.7155979827089294</v>
      </c>
    </row>
    <row r="32" spans="1:3">
      <c r="A32" s="17">
        <v>45988</v>
      </c>
      <c r="B32" s="18">
        <v>4483.2</v>
      </c>
      <c r="C32" s="19">
        <f t="shared" si="1"/>
        <v>-0.7658594891318864</v>
      </c>
    </row>
    <row r="33" spans="1:3">
      <c r="A33" s="17">
        <v>45989</v>
      </c>
      <c r="B33" s="18">
        <v>4542.3999999999996</v>
      </c>
      <c r="C33" s="19">
        <f t="shared" si="1"/>
        <v>1.3204853675945714</v>
      </c>
    </row>
    <row r="34" spans="1:3">
      <c r="A34" s="17">
        <v>45992</v>
      </c>
      <c r="B34" s="18">
        <v>4530.7</v>
      </c>
      <c r="C34" s="19">
        <f t="shared" si="1"/>
        <v>-0.25757308911588189</v>
      </c>
    </row>
    <row r="35" spans="1:3">
      <c r="A35" s="17">
        <v>45993</v>
      </c>
      <c r="B35" s="18">
        <v>4508.5</v>
      </c>
      <c r="C35" s="19">
        <f t="shared" si="1"/>
        <v>-0.48999050919283593</v>
      </c>
    </row>
    <row r="36" spans="1:3">
      <c r="A36" s="17">
        <v>45994</v>
      </c>
      <c r="B36" s="18">
        <v>4436.3</v>
      </c>
      <c r="C36" s="19">
        <f t="shared" si="1"/>
        <v>-1.6014195408672465</v>
      </c>
    </row>
    <row r="37" spans="1:3">
      <c r="A37" s="17">
        <v>45995</v>
      </c>
      <c r="B37" s="18">
        <v>4496.8</v>
      </c>
      <c r="C37" s="19">
        <f t="shared" si="1"/>
        <v>1.3637490701710884</v>
      </c>
    </row>
    <row r="38" spans="1:3">
      <c r="A38" s="17">
        <v>45996</v>
      </c>
      <c r="B38" s="18">
        <v>4443</v>
      </c>
      <c r="C38" s="19">
        <f t="shared" si="1"/>
        <v>-1.1964063333926387</v>
      </c>
    </row>
    <row r="39" spans="1:3">
      <c r="A39" s="17">
        <v>45999</v>
      </c>
      <c r="B39" s="18">
        <v>4287.1000000000004</v>
      </c>
      <c r="C39" s="19">
        <f t="shared" si="1"/>
        <v>-3.5088903893765391</v>
      </c>
    </row>
    <row r="40" spans="1:3">
      <c r="A40" s="17">
        <v>46000</v>
      </c>
      <c r="B40" s="18">
        <v>4303</v>
      </c>
      <c r="C40" s="19">
        <f t="shared" si="1"/>
        <v>0.37088008210677698</v>
      </c>
    </row>
    <row r="41" spans="1:3">
      <c r="A41" s="17">
        <v>46001</v>
      </c>
      <c r="B41" s="18">
        <v>4294.1000000000004</v>
      </c>
      <c r="C41" s="19">
        <f t="shared" si="1"/>
        <v>-0.20683244248198085</v>
      </c>
    </row>
    <row r="42" spans="1:3">
      <c r="A42" s="17">
        <v>46002</v>
      </c>
      <c r="B42" s="18">
        <v>4320.8</v>
      </c>
      <c r="C42" s="19">
        <f t="shared" si="1"/>
        <v>0.62178337719195675</v>
      </c>
    </row>
    <row r="43" spans="1:3">
      <c r="A43" s="17">
        <v>46003</v>
      </c>
      <c r="B43" s="18">
        <v>4302.5</v>
      </c>
      <c r="C43" s="19">
        <f t="shared" si="1"/>
        <v>-0.42353267913349796</v>
      </c>
    </row>
    <row r="44" spans="1:3">
      <c r="A44" s="17">
        <v>46006</v>
      </c>
      <c r="B44" s="18">
        <v>4321.6000000000004</v>
      </c>
      <c r="C44" s="19">
        <f t="shared" si="1"/>
        <v>0.44392794886694625</v>
      </c>
    </row>
    <row r="45" spans="1:3">
      <c r="A45" s="17">
        <v>46007</v>
      </c>
      <c r="B45" s="18">
        <v>4261.3999999999996</v>
      </c>
      <c r="C45" s="19">
        <f t="shared" si="1"/>
        <v>-1.3930025916327453</v>
      </c>
    </row>
    <row r="46" spans="1:3">
      <c r="A46" s="17">
        <v>46008</v>
      </c>
      <c r="B46" s="18">
        <v>4228.3999999999996</v>
      </c>
      <c r="C46" s="19">
        <f t="shared" si="1"/>
        <v>-0.77439339184305633</v>
      </c>
    </row>
    <row r="47" spans="1:3">
      <c r="A47" s="17">
        <v>46009</v>
      </c>
      <c r="B47" s="18">
        <v>4259.5</v>
      </c>
      <c r="C47" s="19">
        <f t="shared" si="1"/>
        <v>0.73550279065368374</v>
      </c>
    </row>
    <row r="48" spans="1:3">
      <c r="A48" s="17">
        <v>46010</v>
      </c>
      <c r="B48" s="18">
        <v>4305.3</v>
      </c>
      <c r="C48" s="19">
        <f t="shared" si="1"/>
        <v>1.0752435731893457</v>
      </c>
    </row>
    <row r="49" spans="1:3">
      <c r="A49" s="17">
        <v>46013</v>
      </c>
      <c r="B49" s="18">
        <v>4386.1000000000004</v>
      </c>
      <c r="C49" s="19">
        <f t="shared" si="1"/>
        <v>1.8767565558729979</v>
      </c>
    </row>
    <row r="50" spans="1:3">
      <c r="A50" s="17">
        <v>46014</v>
      </c>
      <c r="B50" s="18">
        <v>4407.3999999999996</v>
      </c>
      <c r="C50" s="19">
        <f t="shared" si="1"/>
        <v>0.48562504274866669</v>
      </c>
    </row>
    <row r="51" spans="1:3">
      <c r="A51" s="17">
        <v>46015</v>
      </c>
      <c r="B51" s="18">
        <v>4421.3</v>
      </c>
      <c r="C51" s="19">
        <f t="shared" si="1"/>
        <v>0.31537868130872049</v>
      </c>
    </row>
    <row r="52" spans="1:3">
      <c r="A52" s="17">
        <v>46017</v>
      </c>
      <c r="B52" s="18">
        <v>4409.2</v>
      </c>
      <c r="C52" s="19">
        <f t="shared" si="1"/>
        <v>-0.27367516341348386</v>
      </c>
    </row>
    <row r="53" spans="1:3">
      <c r="A53" s="17">
        <v>46020</v>
      </c>
      <c r="B53" s="18">
        <v>4374.3</v>
      </c>
      <c r="C53" s="19">
        <f t="shared" si="1"/>
        <v>-0.79152680758413396</v>
      </c>
    </row>
    <row r="54" spans="1:3">
      <c r="A54" s="17">
        <v>46021</v>
      </c>
      <c r="B54" s="18">
        <v>4325.5</v>
      </c>
      <c r="C54" s="19">
        <f t="shared" si="1"/>
        <v>-1.1156070685595452</v>
      </c>
    </row>
    <row r="55" spans="1:3">
      <c r="A55" s="17">
        <v>46022</v>
      </c>
      <c r="B55" s="18">
        <v>4388.7</v>
      </c>
      <c r="C55" s="19">
        <f t="shared" si="1"/>
        <v>1.4611027626863904</v>
      </c>
    </row>
    <row r="56" spans="1:3">
      <c r="A56" s="17">
        <v>46023</v>
      </c>
      <c r="B56" s="18">
        <v>4397.8999999999996</v>
      </c>
      <c r="C56" s="19">
        <f t="shared" si="1"/>
        <v>0.2096292751839911</v>
      </c>
    </row>
    <row r="57" spans="1:3">
      <c r="A57" s="17">
        <v>46024</v>
      </c>
      <c r="B57" s="18">
        <v>4417.8</v>
      </c>
      <c r="C57" s="19">
        <f t="shared" si="1"/>
        <v>0.45248868778281787</v>
      </c>
    </row>
    <row r="58" spans="1:3">
      <c r="A58" s="17">
        <v>46027</v>
      </c>
      <c r="B58" s="18">
        <v>4526.1000000000004</v>
      </c>
      <c r="C58" s="19">
        <f t="shared" si="1"/>
        <v>2.4514464212956715</v>
      </c>
    </row>
    <row r="59" spans="1:3">
      <c r="A59" s="17">
        <v>46028</v>
      </c>
      <c r="B59" s="18">
        <v>4516</v>
      </c>
      <c r="C59" s="19">
        <f t="shared" si="1"/>
        <v>-0.22315017343850918</v>
      </c>
    </row>
    <row r="60" spans="1:3">
      <c r="A60" s="17">
        <v>46029</v>
      </c>
      <c r="B60" s="18">
        <v>4525.1000000000004</v>
      </c>
      <c r="C60" s="19">
        <f t="shared" si="1"/>
        <v>0.2015057573073597</v>
      </c>
    </row>
    <row r="61" spans="1:3">
      <c r="A61" s="17">
        <v>46030</v>
      </c>
      <c r="B61" s="18">
        <v>4479.8</v>
      </c>
      <c r="C61" s="19">
        <f t="shared" si="1"/>
        <v>-1.0010828489978161</v>
      </c>
    </row>
    <row r="62" spans="1:3">
      <c r="A62" s="17">
        <v>46031</v>
      </c>
      <c r="B62" s="18">
        <v>4462.1000000000004</v>
      </c>
      <c r="C62" s="19">
        <f t="shared" si="1"/>
        <v>-0.39510692441626449</v>
      </c>
    </row>
    <row r="63" spans="1:3">
      <c r="A63" s="17">
        <v>46034</v>
      </c>
      <c r="B63" s="18">
        <v>4518.3999999999996</v>
      </c>
      <c r="C63" s="19">
        <f t="shared" si="1"/>
        <v>1.2617377468008173</v>
      </c>
    </row>
    <row r="64" spans="1:3">
      <c r="A64" s="17">
        <v>46035</v>
      </c>
      <c r="B64" s="18">
        <v>4452.3999999999996</v>
      </c>
      <c r="C64" s="19">
        <f t="shared" si="1"/>
        <v>-1.4606940509915016</v>
      </c>
    </row>
    <row r="65" spans="1:3">
      <c r="A65" s="17">
        <v>46036</v>
      </c>
      <c r="B65" s="18">
        <v>4461.3999999999996</v>
      </c>
      <c r="C65" s="19">
        <f t="shared" si="1"/>
        <v>0.20213817267091908</v>
      </c>
    </row>
    <row r="66" spans="1:3">
      <c r="A66" s="17">
        <v>46038</v>
      </c>
      <c r="B66" s="18">
        <v>4428.7</v>
      </c>
      <c r="C66" s="19">
        <f t="shared" si="1"/>
        <v>-0.73295378132424405</v>
      </c>
    </row>
    <row r="67" spans="1:3">
      <c r="A67" s="17">
        <v>46041</v>
      </c>
      <c r="B67" s="18">
        <v>4504.3</v>
      </c>
      <c r="C67" s="19">
        <f t="shared" si="1"/>
        <v>1.7070472147582894</v>
      </c>
    </row>
    <row r="68" spans="1:3">
      <c r="A68" s="17">
        <v>46042</v>
      </c>
      <c r="B68" s="18">
        <v>4355.2</v>
      </c>
      <c r="C68" s="19">
        <f t="shared" ref="C68:C131" si="2">(B68-B67)/B67 * 100</f>
        <v>-3.3101702817307981</v>
      </c>
    </row>
    <row r="69" spans="1:3">
      <c r="A69" s="17">
        <v>46043</v>
      </c>
      <c r="B69" s="18">
        <v>4259.3999999999996</v>
      </c>
      <c r="C69" s="19">
        <f t="shared" si="2"/>
        <v>-2.1996693607641484</v>
      </c>
    </row>
    <row r="70" spans="1:3">
      <c r="A70" s="17">
        <v>46044</v>
      </c>
      <c r="B70" s="18">
        <v>4353.2</v>
      </c>
      <c r="C70" s="19">
        <f t="shared" si="2"/>
        <v>2.20218810161056</v>
      </c>
    </row>
    <row r="71" spans="1:3">
      <c r="A71" s="17">
        <v>46045</v>
      </c>
      <c r="B71" s="18">
        <v>4305.7</v>
      </c>
      <c r="C71" s="19">
        <f t="shared" si="2"/>
        <v>-1.0911513369475327</v>
      </c>
    </row>
    <row r="72" spans="1:3">
      <c r="A72" s="17">
        <v>46049</v>
      </c>
      <c r="B72" s="18">
        <v>4348.5</v>
      </c>
      <c r="C72" s="19">
        <f t="shared" si="2"/>
        <v>0.99403116798662661</v>
      </c>
    </row>
    <row r="73" spans="1:3">
      <c r="A73" s="17">
        <v>46050</v>
      </c>
      <c r="B73" s="18">
        <v>4624</v>
      </c>
      <c r="C73" s="19">
        <f t="shared" si="2"/>
        <v>6.3355179947108198</v>
      </c>
    </row>
    <row r="74" spans="1:3">
      <c r="A74" s="17">
        <v>46051</v>
      </c>
      <c r="B74" s="18">
        <v>4601</v>
      </c>
      <c r="C74" s="19">
        <f t="shared" si="2"/>
        <v>-0.49740484429065746</v>
      </c>
    </row>
    <row r="75" spans="1:3">
      <c r="A75" s="17">
        <v>46052</v>
      </c>
      <c r="B75" s="18">
        <v>4619.3999999999996</v>
      </c>
      <c r="C75" s="19">
        <f t="shared" si="2"/>
        <v>0.39991306237773605</v>
      </c>
    </row>
    <row r="76" spans="1:3">
      <c r="A76" s="17">
        <v>46054</v>
      </c>
      <c r="B76" s="18">
        <v>4376.8999999999996</v>
      </c>
      <c r="C76" s="19">
        <f t="shared" si="2"/>
        <v>-5.2495995150885397</v>
      </c>
    </row>
    <row r="77" spans="1:3">
      <c r="A77" s="17">
        <v>46055</v>
      </c>
      <c r="B77" s="18">
        <v>4338.7</v>
      </c>
      <c r="C77" s="19">
        <f t="shared" si="2"/>
        <v>-0.87276382828028565</v>
      </c>
    </row>
    <row r="78" spans="1:3">
      <c r="A78" s="17">
        <v>46056</v>
      </c>
      <c r="B78" s="18">
        <v>4470.3999999999996</v>
      </c>
      <c r="C78" s="19">
        <f t="shared" si="2"/>
        <v>3.035471454583166</v>
      </c>
    </row>
    <row r="79" spans="1:3">
      <c r="A79" s="17">
        <v>46057</v>
      </c>
      <c r="B79" s="18">
        <v>4217.1000000000004</v>
      </c>
      <c r="C79" s="19">
        <f t="shared" si="2"/>
        <v>-5.6661596277737853</v>
      </c>
    </row>
    <row r="80" spans="1:3">
      <c r="A80" s="17">
        <v>46058</v>
      </c>
      <c r="B80" s="18">
        <v>4035.5</v>
      </c>
      <c r="C80" s="19">
        <f t="shared" si="2"/>
        <v>-4.3062768253064991</v>
      </c>
    </row>
    <row r="81" spans="1:3">
      <c r="A81" s="17">
        <v>46059</v>
      </c>
      <c r="B81" s="18">
        <v>4067.5</v>
      </c>
      <c r="C81" s="19">
        <f t="shared" si="2"/>
        <v>0.79296245818362043</v>
      </c>
    </row>
    <row r="82" spans="1:3">
      <c r="A82" s="17">
        <v>46062</v>
      </c>
      <c r="B82" s="18">
        <v>4131</v>
      </c>
      <c r="C82" s="19">
        <f t="shared" si="2"/>
        <v>1.5611555009219422</v>
      </c>
    </row>
    <row r="83" spans="1:3">
      <c r="A83" s="17">
        <v>46063</v>
      </c>
      <c r="B83" s="18">
        <v>4168.3</v>
      </c>
      <c r="C83" s="19">
        <f t="shared" si="2"/>
        <v>0.90292907286371771</v>
      </c>
    </row>
    <row r="84" spans="1:3">
      <c r="A84" s="17">
        <v>46064</v>
      </c>
      <c r="B84" s="18">
        <v>4133</v>
      </c>
      <c r="C84" s="19">
        <f t="shared" si="2"/>
        <v>-0.84686802773313286</v>
      </c>
    </row>
    <row r="85" spans="1:3">
      <c r="A85" s="17">
        <v>46065</v>
      </c>
      <c r="B85" s="18">
        <v>4158.8999999999996</v>
      </c>
      <c r="C85" s="19">
        <f t="shared" si="2"/>
        <v>0.62666344060003953</v>
      </c>
    </row>
    <row r="86" spans="1:3">
      <c r="A86" s="17">
        <v>46066</v>
      </c>
      <c r="B86" s="18">
        <v>4212.3999999999996</v>
      </c>
      <c r="C86" s="19">
        <f t="shared" si="2"/>
        <v>1.2863978455841691</v>
      </c>
    </row>
    <row r="87" spans="1:3">
      <c r="A87" s="17">
        <v>46069</v>
      </c>
      <c r="B87" s="18">
        <v>4226.1000000000004</v>
      </c>
      <c r="C87" s="19">
        <f t="shared" si="2"/>
        <v>0.32523027252874204</v>
      </c>
    </row>
    <row r="88" spans="1:3">
      <c r="A88" s="17">
        <v>46070</v>
      </c>
      <c r="B88" s="18">
        <v>4247.6000000000004</v>
      </c>
      <c r="C88" s="19">
        <f t="shared" si="2"/>
        <v>0.50874328577175165</v>
      </c>
    </row>
    <row r="89" spans="1:3">
      <c r="A89" s="17">
        <v>46071</v>
      </c>
      <c r="B89" s="18">
        <v>4251.1000000000004</v>
      </c>
      <c r="C89" s="19">
        <f t="shared" si="2"/>
        <v>8.2399472643375077E-2</v>
      </c>
    </row>
    <row r="90" spans="1:3">
      <c r="A90" s="17">
        <v>46072</v>
      </c>
      <c r="B90" s="18">
        <v>4132.6000000000004</v>
      </c>
      <c r="C90" s="19">
        <f t="shared" si="2"/>
        <v>-2.7875138199524829</v>
      </c>
    </row>
    <row r="91" spans="1:3">
      <c r="A91" s="17">
        <v>46073</v>
      </c>
      <c r="B91" s="18">
        <v>4170</v>
      </c>
      <c r="C91" s="19">
        <f t="shared" si="2"/>
        <v>0.90499927406474456</v>
      </c>
    </row>
    <row r="92" spans="1:3">
      <c r="A92" s="17">
        <v>46076</v>
      </c>
      <c r="B92" s="18">
        <v>4025.4</v>
      </c>
      <c r="C92" s="19">
        <f t="shared" si="2"/>
        <v>-3.4676258992805735</v>
      </c>
    </row>
    <row r="93" spans="1:3">
      <c r="A93" s="17">
        <v>46077</v>
      </c>
      <c r="B93" s="18">
        <v>3952.6</v>
      </c>
      <c r="C93" s="19">
        <f t="shared" si="2"/>
        <v>-1.8085159238833453</v>
      </c>
    </row>
    <row r="94" spans="1:3">
      <c r="A94" s="17">
        <v>46078</v>
      </c>
      <c r="B94" s="18">
        <v>3985</v>
      </c>
      <c r="C94" s="19">
        <f t="shared" si="2"/>
        <v>0.81971360623387368</v>
      </c>
    </row>
    <row r="95" spans="1:3">
      <c r="A95" s="17">
        <v>46079</v>
      </c>
      <c r="B95" s="18">
        <v>4008.9</v>
      </c>
      <c r="C95" s="19">
        <f t="shared" si="2"/>
        <v>0.59974905897114406</v>
      </c>
    </row>
    <row r="96" spans="1:3">
      <c r="A96" s="17">
        <v>46080</v>
      </c>
      <c r="B96" s="18">
        <v>3913.2</v>
      </c>
      <c r="C96" s="19">
        <f t="shared" si="2"/>
        <v>-2.3871885055751019</v>
      </c>
    </row>
    <row r="97" spans="1:3">
      <c r="A97" s="17">
        <v>46083</v>
      </c>
      <c r="B97" s="18">
        <v>3951.6</v>
      </c>
      <c r="C97" s="19">
        <f t="shared" si="2"/>
        <v>0.98129408157007281</v>
      </c>
    </row>
    <row r="98" spans="1:3">
      <c r="A98" s="17">
        <v>46085</v>
      </c>
      <c r="B98" s="18">
        <v>3876.8</v>
      </c>
      <c r="C98" s="19">
        <f t="shared" si="2"/>
        <v>-1.8929041400951445</v>
      </c>
    </row>
    <row r="99" spans="1:3">
      <c r="A99" s="17">
        <v>46086</v>
      </c>
      <c r="B99" s="18">
        <v>3891.8</v>
      </c>
      <c r="C99" s="19">
        <f t="shared" si="2"/>
        <v>0.38691704498555507</v>
      </c>
    </row>
    <row r="100" spans="1:3">
      <c r="A100" s="17">
        <v>46087</v>
      </c>
      <c r="B100" s="18">
        <v>4023.7</v>
      </c>
      <c r="C100" s="19">
        <f t="shared" si="2"/>
        <v>3.3891772444627071</v>
      </c>
    </row>
    <row r="101" spans="1:3">
      <c r="A101" s="17">
        <v>46090</v>
      </c>
      <c r="B101" s="18">
        <v>3989.9</v>
      </c>
      <c r="C101" s="19">
        <f t="shared" si="2"/>
        <v>-0.84002286452766683</v>
      </c>
    </row>
    <row r="102" spans="1:3">
      <c r="A102" s="17">
        <v>46091</v>
      </c>
      <c r="B102" s="18">
        <v>4040.1</v>
      </c>
      <c r="C102" s="19">
        <f t="shared" si="2"/>
        <v>1.2581768966640723</v>
      </c>
    </row>
    <row r="103" spans="1:3">
      <c r="A103" s="17">
        <v>46092</v>
      </c>
      <c r="B103" s="18">
        <v>4005.1</v>
      </c>
      <c r="C103" s="19">
        <f t="shared" si="2"/>
        <v>-0.86631519021806402</v>
      </c>
    </row>
    <row r="104" spans="1:3">
      <c r="A104" s="17">
        <v>46093</v>
      </c>
      <c r="B104" s="18">
        <v>4013.5</v>
      </c>
      <c r="C104" s="19">
        <f t="shared" si="2"/>
        <v>0.20973259094654545</v>
      </c>
    </row>
    <row r="105" spans="1:3">
      <c r="A105" s="17">
        <v>46094</v>
      </c>
      <c r="B105" s="18">
        <v>3914.4</v>
      </c>
      <c r="C105" s="19">
        <f t="shared" si="2"/>
        <v>-2.4691665628503778</v>
      </c>
    </row>
    <row r="106" spans="1:3">
      <c r="A106" s="17">
        <v>46097</v>
      </c>
      <c r="B106" s="18">
        <v>3913.1</v>
      </c>
      <c r="C106" s="19">
        <f t="shared" si="2"/>
        <v>-3.3210709176379055E-2</v>
      </c>
    </row>
    <row r="107" spans="1:3">
      <c r="A107" s="17">
        <v>46098</v>
      </c>
      <c r="B107" s="18">
        <v>3963.1</v>
      </c>
      <c r="C107" s="19">
        <f t="shared" si="2"/>
        <v>1.2777593212542486</v>
      </c>
    </row>
    <row r="108" spans="1:3">
      <c r="A108" s="17">
        <v>46099</v>
      </c>
      <c r="B108" s="18">
        <v>3961.6</v>
      </c>
      <c r="C108" s="19">
        <f t="shared" si="2"/>
        <v>-3.7849158487042969E-2</v>
      </c>
    </row>
    <row r="109" spans="1:3">
      <c r="A109" s="17">
        <v>46100</v>
      </c>
      <c r="B109" s="18">
        <v>3802.5</v>
      </c>
      <c r="C109" s="19">
        <f t="shared" si="2"/>
        <v>-4.0160541195476549</v>
      </c>
    </row>
    <row r="110" spans="1:3">
      <c r="A110" s="17">
        <v>46101</v>
      </c>
      <c r="B110" s="18">
        <v>3782.4</v>
      </c>
      <c r="C110" s="19">
        <f t="shared" si="2"/>
        <v>-0.52859960552268004</v>
      </c>
    </row>
    <row r="111" spans="1:3">
      <c r="A111" s="17">
        <v>46104</v>
      </c>
      <c r="B111" s="18">
        <v>3634.6</v>
      </c>
      <c r="C111" s="19">
        <f t="shared" si="2"/>
        <v>-3.907571912013541</v>
      </c>
    </row>
    <row r="112" spans="1:3">
      <c r="A112" s="17">
        <v>46105</v>
      </c>
      <c r="B112" s="18">
        <v>3654</v>
      </c>
      <c r="C112" s="19">
        <f t="shared" si="2"/>
        <v>0.53375887305343339</v>
      </c>
    </row>
    <row r="113" spans="1:3">
      <c r="A113" s="17">
        <v>46106</v>
      </c>
      <c r="B113" s="18">
        <v>3669.4</v>
      </c>
      <c r="C113" s="19">
        <f t="shared" si="2"/>
        <v>0.42145593869732051</v>
      </c>
    </row>
    <row r="114" spans="1:3">
      <c r="A114" s="17">
        <v>46108</v>
      </c>
      <c r="B114" s="18">
        <v>3588.6</v>
      </c>
      <c r="C114" s="19">
        <f t="shared" si="2"/>
        <v>-2.2019948765465793</v>
      </c>
    </row>
    <row r="115" spans="1:3">
      <c r="A115" s="17">
        <v>46111</v>
      </c>
      <c r="B115" s="18">
        <v>3487.2</v>
      </c>
      <c r="C115" s="19">
        <f t="shared" si="2"/>
        <v>-2.8256144457448613</v>
      </c>
    </row>
    <row r="116" spans="1:3">
      <c r="A116" s="17">
        <v>46113</v>
      </c>
      <c r="B116" s="18">
        <v>3670.8</v>
      </c>
      <c r="C116" s="19">
        <f t="shared" si="2"/>
        <v>5.2649690295939546</v>
      </c>
    </row>
    <row r="117" spans="1:3">
      <c r="A117" s="17">
        <v>46114</v>
      </c>
      <c r="B117" s="18">
        <v>3687</v>
      </c>
      <c r="C117" s="19">
        <f t="shared" si="2"/>
        <v>0.44132069303693522</v>
      </c>
    </row>
    <row r="118" spans="1:3">
      <c r="A118" s="17">
        <v>46118</v>
      </c>
      <c r="B118" s="18">
        <v>3752.1</v>
      </c>
      <c r="C118" s="19">
        <f t="shared" si="2"/>
        <v>1.7656631407648469</v>
      </c>
    </row>
    <row r="119" spans="1:3">
      <c r="A119" s="17">
        <v>46119</v>
      </c>
      <c r="B119" s="18">
        <v>3796.2</v>
      </c>
      <c r="C119" s="19">
        <f t="shared" si="2"/>
        <v>1.1753418085871887</v>
      </c>
    </row>
    <row r="120" spans="1:3">
      <c r="A120" s="17">
        <v>46120</v>
      </c>
      <c r="B120" s="18">
        <v>3907.5</v>
      </c>
      <c r="C120" s="19">
        <f t="shared" si="2"/>
        <v>2.9318792476687263</v>
      </c>
    </row>
    <row r="121" spans="1:3">
      <c r="A121" s="17">
        <v>46121</v>
      </c>
      <c r="B121" s="18">
        <v>4032.9</v>
      </c>
      <c r="C121" s="19">
        <f t="shared" si="2"/>
        <v>3.209213051823419</v>
      </c>
    </row>
    <row r="122" spans="1:3">
      <c r="A122" s="17">
        <v>46122</v>
      </c>
      <c r="B122" s="18">
        <v>4112.2</v>
      </c>
      <c r="C122" s="19">
        <f t="shared" si="2"/>
        <v>1.9663269607478422</v>
      </c>
    </row>
    <row r="123" spans="1:3">
      <c r="A123" s="17">
        <v>46125</v>
      </c>
      <c r="B123" s="18">
        <v>4099.8999999999996</v>
      </c>
      <c r="C123" s="19">
        <f t="shared" si="2"/>
        <v>-0.29910996546861007</v>
      </c>
    </row>
    <row r="124" spans="1:3">
      <c r="A124" s="17">
        <v>46127</v>
      </c>
      <c r="B124" s="18">
        <v>4239.2</v>
      </c>
      <c r="C124" s="19">
        <f t="shared" si="2"/>
        <v>3.3976438449718338</v>
      </c>
    </row>
    <row r="125" spans="1:3">
      <c r="A125" s="17">
        <v>46128</v>
      </c>
      <c r="B125" s="18">
        <v>4363.3999999999996</v>
      </c>
      <c r="C125" s="19">
        <f t="shared" si="2"/>
        <v>2.9297980751085069</v>
      </c>
    </row>
    <row r="126" spans="1:3">
      <c r="A126" s="17">
        <v>46129</v>
      </c>
      <c r="B126" s="18">
        <v>4388.1000000000004</v>
      </c>
      <c r="C126" s="19">
        <f t="shared" si="2"/>
        <v>0.5660723289178331</v>
      </c>
    </row>
    <row r="127" spans="1:3">
      <c r="A127" s="17">
        <v>46132</v>
      </c>
      <c r="B127" s="18">
        <v>4344.5</v>
      </c>
      <c r="C127" s="19">
        <f t="shared" si="2"/>
        <v>-0.99359631731274034</v>
      </c>
    </row>
    <row r="128" spans="1:3">
      <c r="A128" s="17">
        <v>46133</v>
      </c>
      <c r="B128" s="18">
        <v>4358.3999999999996</v>
      </c>
      <c r="C128" s="19">
        <f t="shared" si="2"/>
        <v>0.31994475773966247</v>
      </c>
    </row>
    <row r="129" spans="1:3">
      <c r="A129" s="17">
        <v>46134</v>
      </c>
      <c r="B129" s="18">
        <v>4400.6000000000004</v>
      </c>
      <c r="C129" s="19">
        <f t="shared" si="2"/>
        <v>0.9682452276064778</v>
      </c>
    </row>
    <row r="130" spans="1:3">
      <c r="A130" s="17">
        <v>46135</v>
      </c>
      <c r="B130" s="18">
        <v>4352.5</v>
      </c>
      <c r="C130" s="19">
        <f t="shared" si="2"/>
        <v>-1.0930327682588818</v>
      </c>
    </row>
    <row r="131" spans="1:3">
      <c r="A131" s="17">
        <v>46136</v>
      </c>
      <c r="B131" s="18">
        <v>4265.8</v>
      </c>
      <c r="C131" s="19">
        <f t="shared" si="2"/>
        <v>-1.9919586444572042</v>
      </c>
    </row>
    <row r="132" spans="1:3">
      <c r="A132" s="17">
        <v>46139</v>
      </c>
      <c r="B132" s="18">
        <v>4310.3</v>
      </c>
      <c r="C132" s="19">
        <f t="shared" ref="C132:C195" si="3">(B132-B131)/B131 * 100</f>
        <v>1.0431806460687327</v>
      </c>
    </row>
    <row r="133" spans="1:3">
      <c r="A133" s="17">
        <v>46140</v>
      </c>
      <c r="B133" s="18">
        <v>4341.3999999999996</v>
      </c>
      <c r="C133" s="19">
        <f t="shared" si="3"/>
        <v>0.72152750388602771</v>
      </c>
    </row>
    <row r="134" spans="1:3">
      <c r="A134" s="17">
        <v>46141</v>
      </c>
      <c r="B134" s="18">
        <v>4351.6000000000004</v>
      </c>
      <c r="C134" s="19">
        <f t="shared" si="3"/>
        <v>0.2349472520385297</v>
      </c>
    </row>
    <row r="135" spans="1:3">
      <c r="A135" s="17">
        <v>46142</v>
      </c>
      <c r="B135" s="18">
        <v>4338.8</v>
      </c>
      <c r="C135" s="19">
        <f t="shared" si="3"/>
        <v>-0.29414468241566738</v>
      </c>
    </row>
    <row r="136" spans="1:3">
      <c r="A136" s="17">
        <v>46146</v>
      </c>
      <c r="B136" s="18">
        <v>4559.5</v>
      </c>
      <c r="C136" s="19">
        <f t="shared" si="3"/>
        <v>5.0866599059647788</v>
      </c>
    </row>
    <row r="137" spans="1:3">
      <c r="A137" s="17">
        <v>46147</v>
      </c>
      <c r="B137" s="18">
        <v>4610.3999999999996</v>
      </c>
      <c r="C137" s="19">
        <f t="shared" si="3"/>
        <v>1.1163504770259818</v>
      </c>
    </row>
    <row r="138" spans="1:3">
      <c r="A138" s="17">
        <v>46148</v>
      </c>
      <c r="B138" s="18">
        <v>4626.8999999999996</v>
      </c>
      <c r="C138" s="19">
        <f t="shared" si="3"/>
        <v>0.35788651743883398</v>
      </c>
    </row>
    <row r="139" spans="1:3">
      <c r="A139" s="17">
        <v>46149</v>
      </c>
      <c r="B139" s="18">
        <v>4782.1000000000004</v>
      </c>
      <c r="C139" s="19">
        <f t="shared" si="3"/>
        <v>3.3542976939203517</v>
      </c>
    </row>
    <row r="140" spans="1:3">
      <c r="A140" s="17">
        <v>46150</v>
      </c>
      <c r="B140" s="18">
        <v>4788.1000000000004</v>
      </c>
      <c r="C140" s="19">
        <f t="shared" si="3"/>
        <v>0.12546789067564457</v>
      </c>
    </row>
    <row r="141" spans="1:3">
      <c r="A141" s="17">
        <v>46153</v>
      </c>
      <c r="B141" s="18">
        <v>4756.3</v>
      </c>
      <c r="C141" s="19">
        <f t="shared" si="3"/>
        <v>-0.6641465299388104</v>
      </c>
    </row>
    <row r="142" spans="1:3">
      <c r="A142" s="17">
        <v>46154</v>
      </c>
      <c r="B142" s="18">
        <v>4572.5</v>
      </c>
      <c r="C142" s="19">
        <f t="shared" si="3"/>
        <v>-3.8643483379938228</v>
      </c>
    </row>
    <row r="143" spans="1:3">
      <c r="A143" s="17">
        <v>46155</v>
      </c>
      <c r="B143" s="18">
        <v>4618.5</v>
      </c>
      <c r="C143" s="19">
        <f t="shared" si="3"/>
        <v>1.0060142154182614</v>
      </c>
    </row>
    <row r="144" spans="1:3">
      <c r="A144" s="17">
        <v>46156</v>
      </c>
      <c r="B144" s="18">
        <v>4608</v>
      </c>
      <c r="C144" s="19">
        <f t="shared" si="3"/>
        <v>-0.22734654108476776</v>
      </c>
    </row>
    <row r="145" spans="1:3">
      <c r="A145" s="17">
        <v>46157</v>
      </c>
      <c r="B145" s="18">
        <v>4386.2</v>
      </c>
      <c r="C145" s="19">
        <f t="shared" si="3"/>
        <v>-4.8133680555555589</v>
      </c>
    </row>
    <row r="146" spans="1:3">
      <c r="A146" s="17">
        <v>46160</v>
      </c>
      <c r="B146" s="18">
        <v>4326.5</v>
      </c>
      <c r="C146" s="19">
        <f t="shared" si="3"/>
        <v>-1.3610870457343445</v>
      </c>
    </row>
    <row r="147" spans="1:3">
      <c r="A147" s="17">
        <v>46161</v>
      </c>
      <c r="B147" s="18">
        <v>4333.2</v>
      </c>
      <c r="C147" s="19">
        <f t="shared" si="3"/>
        <v>0.15485958627065335</v>
      </c>
    </row>
    <row r="148" spans="1:3">
      <c r="A148" s="17">
        <v>46162</v>
      </c>
      <c r="B148" s="18">
        <v>4326.5</v>
      </c>
      <c r="C148" s="19">
        <f t="shared" si="3"/>
        <v>-0.15462014215821607</v>
      </c>
    </row>
    <row r="149" spans="1:3">
      <c r="A149" s="17">
        <v>46163</v>
      </c>
      <c r="B149" s="18">
        <v>4370.3999999999996</v>
      </c>
      <c r="C149" s="19">
        <f t="shared" si="3"/>
        <v>1.0146769906390762</v>
      </c>
    </row>
    <row r="150" spans="1:3">
      <c r="A150" s="17">
        <v>46164</v>
      </c>
      <c r="B150" s="18">
        <v>4368.3999999999996</v>
      </c>
      <c r="C150" s="19">
        <f t="shared" si="3"/>
        <v>-4.5762401610836542E-2</v>
      </c>
    </row>
    <row r="151" spans="1:3">
      <c r="A151" s="17">
        <v>46167</v>
      </c>
      <c r="B151" s="18">
        <v>4425.8999999999996</v>
      </c>
      <c r="C151" s="19">
        <f t="shared" si="3"/>
        <v>1.3162714037176084</v>
      </c>
    </row>
    <row r="152" spans="1:3">
      <c r="A152" s="17">
        <v>46168</v>
      </c>
      <c r="B152" s="18">
        <v>4427.7</v>
      </c>
      <c r="C152" s="19">
        <f t="shared" si="3"/>
        <v>4.066969429946863E-2</v>
      </c>
    </row>
    <row r="153" spans="1:3">
      <c r="A153" s="17">
        <v>46169</v>
      </c>
      <c r="B153" s="18">
        <v>4413</v>
      </c>
      <c r="C153" s="19">
        <f t="shared" si="3"/>
        <v>-0.33200081306321155</v>
      </c>
    </row>
    <row r="154" spans="1:3">
      <c r="A154" s="17">
        <v>46171</v>
      </c>
      <c r="B154" s="18">
        <v>4303.8</v>
      </c>
      <c r="C154" s="19">
        <f t="shared" si="3"/>
        <v>-2.4745071380013557</v>
      </c>
    </row>
    <row r="155" spans="1:3">
      <c r="A155" s="17">
        <v>46174</v>
      </c>
      <c r="B155" s="18">
        <v>4254.1000000000004</v>
      </c>
      <c r="C155" s="19">
        <f t="shared" si="3"/>
        <v>-1.1547934383567966</v>
      </c>
    </row>
    <row r="156" spans="1:3">
      <c r="A156" s="17">
        <v>46175</v>
      </c>
      <c r="B156" s="18">
        <v>4278.5</v>
      </c>
      <c r="C156" s="19">
        <f t="shared" si="3"/>
        <v>0.57356432617944186</v>
      </c>
    </row>
    <row r="157" spans="1:3">
      <c r="A157" s="17">
        <v>46176</v>
      </c>
      <c r="B157" s="18">
        <v>4264.1000000000004</v>
      </c>
      <c r="C157" s="19">
        <f t="shared" si="3"/>
        <v>-0.33656655369871769</v>
      </c>
    </row>
    <row r="158" spans="1:3">
      <c r="A158" s="17">
        <v>46177</v>
      </c>
      <c r="B158" s="18">
        <v>4191</v>
      </c>
      <c r="C158" s="19">
        <f t="shared" si="3"/>
        <v>-1.7143125161229886</v>
      </c>
    </row>
    <row r="159" spans="1:3">
      <c r="A159" s="17">
        <v>46178</v>
      </c>
      <c r="B159" s="18">
        <v>4216.8999999999996</v>
      </c>
      <c r="C159" s="19">
        <f t="shared" si="3"/>
        <v>0.61799093295155416</v>
      </c>
    </row>
    <row r="160" spans="1:3">
      <c r="A160" s="17">
        <v>46181</v>
      </c>
      <c r="B160" s="18">
        <v>4238</v>
      </c>
      <c r="C160" s="19">
        <f t="shared" si="3"/>
        <v>0.50036756859305098</v>
      </c>
    </row>
    <row r="161" spans="1:3">
      <c r="A161" s="17">
        <v>46182</v>
      </c>
      <c r="B161" s="18">
        <v>4263.8</v>
      </c>
      <c r="C161" s="19">
        <f t="shared" si="3"/>
        <v>0.6087777253421468</v>
      </c>
    </row>
    <row r="162" spans="1:3">
      <c r="A162" s="17">
        <v>46183</v>
      </c>
      <c r="B162" s="18">
        <v>4219.2</v>
      </c>
      <c r="C162" s="19">
        <f t="shared" si="3"/>
        <v>-1.0460152915240011</v>
      </c>
    </row>
    <row r="163" spans="1:3">
      <c r="A163" s="17">
        <v>46184</v>
      </c>
      <c r="B163" s="18">
        <v>4172.3</v>
      </c>
      <c r="C163" s="19">
        <f t="shared" si="3"/>
        <v>-1.1115851346226688</v>
      </c>
    </row>
    <row r="164" spans="1:3">
      <c r="A164" s="17">
        <v>46185</v>
      </c>
      <c r="B164" s="18">
        <v>4192.3</v>
      </c>
      <c r="C164" s="19">
        <f t="shared" si="3"/>
        <v>0.47935191620928502</v>
      </c>
    </row>
    <row r="165" spans="1:3">
      <c r="A165" s="17">
        <v>46188</v>
      </c>
      <c r="B165" s="18">
        <v>4284.7</v>
      </c>
      <c r="C165" s="19">
        <f t="shared" si="3"/>
        <v>2.2040407413591496</v>
      </c>
    </row>
    <row r="166" spans="1:3">
      <c r="A166" s="17">
        <v>46189</v>
      </c>
      <c r="B166" s="18">
        <v>4255.8</v>
      </c>
      <c r="C166" s="19">
        <f t="shared" si="3"/>
        <v>-0.67449296333464748</v>
      </c>
    </row>
    <row r="167" spans="1:3">
      <c r="A167" s="17">
        <v>46190</v>
      </c>
      <c r="B167" s="18">
        <v>4460.5</v>
      </c>
      <c r="C167" s="19">
        <f t="shared" si="3"/>
        <v>4.8099064805676912</v>
      </c>
    </row>
    <row r="168" spans="1:3">
      <c r="A168" s="17">
        <v>46191</v>
      </c>
      <c r="B168" s="18">
        <v>4411.5</v>
      </c>
      <c r="C168" s="19">
        <f t="shared" si="3"/>
        <v>-1.0985315547584351</v>
      </c>
    </row>
    <row r="169" spans="1:3">
      <c r="A169" s="17">
        <v>46192</v>
      </c>
      <c r="B169" s="18">
        <v>4408.1000000000004</v>
      </c>
      <c r="C169" s="19">
        <f t="shared" si="3"/>
        <v>-7.7071290944115065E-2</v>
      </c>
    </row>
    <row r="170" spans="1:3">
      <c r="A170" s="17">
        <v>46195</v>
      </c>
      <c r="B170" s="18">
        <v>4515.2</v>
      </c>
      <c r="C170" s="19">
        <f t="shared" si="3"/>
        <v>2.4296182028538249</v>
      </c>
    </row>
    <row r="171" spans="1:3">
      <c r="A171" s="17">
        <v>46196</v>
      </c>
      <c r="B171" s="18">
        <v>4500.2</v>
      </c>
      <c r="C171" s="19">
        <f t="shared" si="3"/>
        <v>-0.33221119773210489</v>
      </c>
    </row>
    <row r="172" spans="1:3">
      <c r="A172" s="17">
        <v>46197</v>
      </c>
      <c r="B172" s="18">
        <v>4368.8999999999996</v>
      </c>
      <c r="C172" s="19">
        <f t="shared" si="3"/>
        <v>-2.9176481045286917</v>
      </c>
    </row>
    <row r="173" spans="1:3">
      <c r="A173" s="17">
        <v>46198</v>
      </c>
      <c r="B173" s="18">
        <v>4368.7</v>
      </c>
      <c r="C173" s="19">
        <f t="shared" si="3"/>
        <v>-4.5778113483901694E-3</v>
      </c>
    </row>
    <row r="174" spans="1:3">
      <c r="A174" s="17">
        <v>46202</v>
      </c>
      <c r="B174" s="18">
        <v>4342.8</v>
      </c>
      <c r="C174" s="19">
        <f t="shared" si="3"/>
        <v>-0.59285370934144332</v>
      </c>
    </row>
    <row r="175" spans="1:3">
      <c r="A175" s="17">
        <v>46203</v>
      </c>
      <c r="B175" s="18">
        <v>4381.2</v>
      </c>
      <c r="C175" s="19">
        <f t="shared" si="3"/>
        <v>0.88422216081789717</v>
      </c>
    </row>
    <row r="176" spans="1:3">
      <c r="A176" s="17">
        <v>46204</v>
      </c>
      <c r="B176" s="18">
        <v>4434.3999999999996</v>
      </c>
      <c r="C176" s="19">
        <f t="shared" si="3"/>
        <v>1.2142791929151791</v>
      </c>
    </row>
    <row r="177" spans="1:3">
      <c r="A177" s="17">
        <v>46205</v>
      </c>
      <c r="B177" s="18">
        <v>4434</v>
      </c>
      <c r="C177" s="19">
        <f t="shared" si="3"/>
        <v>-9.0203860725157001E-3</v>
      </c>
    </row>
    <row r="178" spans="1:3">
      <c r="A178" s="17">
        <v>46206</v>
      </c>
      <c r="B178" s="18">
        <v>4428.8999999999996</v>
      </c>
      <c r="C178" s="19">
        <f t="shared" si="3"/>
        <v>-0.11502029769960224</v>
      </c>
    </row>
    <row r="179" spans="1:3">
      <c r="A179" s="17">
        <v>46209</v>
      </c>
      <c r="B179" s="18">
        <v>4440.6000000000004</v>
      </c>
      <c r="C179" s="19">
        <f t="shared" si="3"/>
        <v>0.26417394838449115</v>
      </c>
    </row>
    <row r="180" spans="1:3">
      <c r="A180" s="17">
        <v>46210</v>
      </c>
      <c r="B180" s="18">
        <v>4400.3</v>
      </c>
      <c r="C180" s="19">
        <f t="shared" si="3"/>
        <v>-0.9075350177903927</v>
      </c>
    </row>
    <row r="181" spans="1:3">
      <c r="A181" s="17">
        <v>46211</v>
      </c>
      <c r="B181" s="18">
        <v>4364.7</v>
      </c>
      <c r="C181" s="19">
        <f t="shared" si="3"/>
        <v>-0.80903574756267438</v>
      </c>
    </row>
    <row r="182" spans="1:3">
      <c r="A182" s="17">
        <v>46212</v>
      </c>
      <c r="B182" s="18">
        <v>4378.8999999999996</v>
      </c>
      <c r="C182" s="19">
        <f t="shared" si="3"/>
        <v>0.32533736568377708</v>
      </c>
    </row>
    <row r="183" spans="1:3">
      <c r="A183" s="17">
        <v>46213</v>
      </c>
      <c r="B183" s="18">
        <v>4506.8</v>
      </c>
      <c r="C183" s="19">
        <f t="shared" si="3"/>
        <v>2.9208248646920585</v>
      </c>
    </row>
    <row r="184" spans="1:3">
      <c r="A184" s="17">
        <v>46216</v>
      </c>
      <c r="B184" s="18">
        <v>4511.3</v>
      </c>
      <c r="C184" s="19">
        <f t="shared" si="3"/>
        <v>9.9849116890032841E-2</v>
      </c>
    </row>
    <row r="185" spans="1:3">
      <c r="A185" s="17">
        <v>46217</v>
      </c>
      <c r="B185" s="18">
        <v>4442.3999999999996</v>
      </c>
      <c r="C185" s="19">
        <f t="shared" si="3"/>
        <v>-1.5272759514995797</v>
      </c>
    </row>
    <row r="186" spans="1:3">
      <c r="A186" s="17">
        <v>46218</v>
      </c>
      <c r="B186" s="18">
        <v>4420.5</v>
      </c>
      <c r="C186" s="19">
        <f t="shared" si="3"/>
        <v>-0.49297676931387624</v>
      </c>
    </row>
    <row r="187" spans="1:3">
      <c r="A187" s="17">
        <v>46219</v>
      </c>
      <c r="B187" s="18">
        <v>4433.8</v>
      </c>
      <c r="C187" s="19">
        <f t="shared" si="3"/>
        <v>0.30087094220111255</v>
      </c>
    </row>
    <row r="188" spans="1:3">
      <c r="A188" s="17">
        <v>46220</v>
      </c>
      <c r="B188" s="18">
        <v>4500.7</v>
      </c>
      <c r="C188" s="19">
        <f t="shared" si="3"/>
        <v>1.5088637286300606</v>
      </c>
    </row>
    <row r="189" spans="1:3">
      <c r="A189" s="17">
        <v>46223</v>
      </c>
      <c r="B189" s="18">
        <v>4491</v>
      </c>
      <c r="C189" s="19">
        <f t="shared" si="3"/>
        <v>-0.21552202990645497</v>
      </c>
    </row>
    <row r="190" spans="1:3">
      <c r="A190" s="17">
        <v>46224</v>
      </c>
      <c r="B190" s="18">
        <v>4581.7</v>
      </c>
      <c r="C190" s="19">
        <f t="shared" si="3"/>
        <v>2.0195947450456426</v>
      </c>
    </row>
    <row r="191" spans="1:3">
      <c r="A191" s="17">
        <v>46225</v>
      </c>
      <c r="B191" s="18">
        <v>4574.8</v>
      </c>
      <c r="C191" s="19">
        <f t="shared" si="3"/>
        <v>-0.15059912259640823</v>
      </c>
    </row>
    <row r="192" spans="1:3">
      <c r="A192" s="17">
        <v>46226</v>
      </c>
      <c r="B192" s="18">
        <v>4592.5</v>
      </c>
      <c r="C192" s="19">
        <f t="shared" si="3"/>
        <v>0.38690215965724878</v>
      </c>
    </row>
    <row r="193" spans="1:3">
      <c r="A193" s="17">
        <v>46227</v>
      </c>
      <c r="B193" s="18">
        <v>4573.3999999999996</v>
      </c>
      <c r="C193" s="19">
        <f t="shared" si="3"/>
        <v>-0.41589548176375318</v>
      </c>
    </row>
    <row r="194" spans="1:3">
      <c r="A194" s="17">
        <v>46230</v>
      </c>
      <c r="B194" s="18">
        <v>4619</v>
      </c>
      <c r="C194" s="19">
        <f t="shared" si="3"/>
        <v>0.9970700135566618</v>
      </c>
    </row>
    <row r="195" spans="1:3">
      <c r="A195" s="17">
        <v>46231</v>
      </c>
      <c r="B195" s="18">
        <v>4600.1000000000004</v>
      </c>
      <c r="C195" s="19">
        <f t="shared" si="3"/>
        <v>-0.40917947607706506</v>
      </c>
    </row>
    <row r="196" spans="1:3">
      <c r="A196" s="17">
        <v>46232</v>
      </c>
      <c r="B196" s="18">
        <v>4592</v>
      </c>
      <c r="C196" s="19">
        <f t="shared" ref="C196:C248" si="4">(B196-B195)/B195 * 100</f>
        <v>-0.17608312862764641</v>
      </c>
    </row>
    <row r="197" spans="1:3">
      <c r="A197" s="17">
        <v>46233</v>
      </c>
      <c r="B197" s="18">
        <v>4581.3999999999996</v>
      </c>
      <c r="C197" s="19">
        <f t="shared" si="4"/>
        <v>-0.23083623693380584</v>
      </c>
    </row>
    <row r="198" spans="1:3">
      <c r="A198" s="17">
        <v>46234</v>
      </c>
      <c r="B198" s="18">
        <v>4646.5</v>
      </c>
      <c r="C198" s="19">
        <f t="shared" si="4"/>
        <v>1.4209630244030289</v>
      </c>
    </row>
    <row r="199" spans="1:3">
      <c r="A199" s="17">
        <v>46237</v>
      </c>
      <c r="B199" s="18">
        <v>4690</v>
      </c>
      <c r="C199" s="19">
        <f t="shared" si="4"/>
        <v>0.93618852900032279</v>
      </c>
    </row>
    <row r="200" spans="1:3">
      <c r="A200" s="17">
        <v>46238</v>
      </c>
      <c r="B200" s="18">
        <v>4635</v>
      </c>
      <c r="C200" s="19">
        <f t="shared" si="4"/>
        <v>-1.1727078891257996</v>
      </c>
    </row>
    <row r="201" spans="1:3">
      <c r="A201" s="17">
        <v>46239</v>
      </c>
      <c r="B201" s="18">
        <v>4645</v>
      </c>
      <c r="C201" s="19">
        <f t="shared" si="4"/>
        <v>0.21574973031283709</v>
      </c>
    </row>
    <row r="202" spans="1:3">
      <c r="A202" s="17">
        <v>46240</v>
      </c>
      <c r="B202" s="18">
        <v>4920</v>
      </c>
      <c r="C202" s="19">
        <f t="shared" si="4"/>
        <v>5.9203444564047363</v>
      </c>
    </row>
    <row r="203" spans="1:3">
      <c r="A203" s="17">
        <v>46241</v>
      </c>
      <c r="B203" s="18">
        <v>4910</v>
      </c>
      <c r="C203" s="19">
        <f t="shared" si="4"/>
        <v>-0.20325203252032523</v>
      </c>
    </row>
    <row r="204" spans="1:3">
      <c r="A204" s="17">
        <v>46244</v>
      </c>
      <c r="B204" s="18">
        <v>4928</v>
      </c>
      <c r="C204" s="19">
        <f t="shared" si="4"/>
        <v>0.36659877800407331</v>
      </c>
    </row>
    <row r="205" spans="1:3">
      <c r="A205" s="17">
        <v>46245</v>
      </c>
      <c r="B205" s="18">
        <v>4909</v>
      </c>
      <c r="C205" s="19">
        <f t="shared" si="4"/>
        <v>-0.38555194805194803</v>
      </c>
    </row>
    <row r="206" spans="1:3">
      <c r="A206" s="17">
        <v>46246</v>
      </c>
      <c r="B206" s="18">
        <v>4995</v>
      </c>
      <c r="C206" s="19">
        <f t="shared" si="4"/>
        <v>1.7518842941535953</v>
      </c>
    </row>
    <row r="207" spans="1:3">
      <c r="A207" s="17">
        <v>46247</v>
      </c>
      <c r="B207" s="18">
        <v>4945</v>
      </c>
      <c r="C207" s="19">
        <f t="shared" si="4"/>
        <v>-1.0010010010010011</v>
      </c>
    </row>
    <row r="208" spans="1:3">
      <c r="A208" s="17">
        <v>46248</v>
      </c>
      <c r="B208" s="18">
        <v>5029.8999999999996</v>
      </c>
      <c r="C208" s="19">
        <f t="shared" si="4"/>
        <v>1.7168857431749167</v>
      </c>
    </row>
    <row r="209" spans="1:3">
      <c r="A209" s="17">
        <v>46251</v>
      </c>
      <c r="B209" s="18">
        <v>5059</v>
      </c>
      <c r="C209" s="19">
        <f t="shared" si="4"/>
        <v>0.57854032883358242</v>
      </c>
    </row>
    <row r="210" spans="1:3">
      <c r="A210" s="17">
        <v>46252</v>
      </c>
      <c r="B210" s="18">
        <v>5099</v>
      </c>
      <c r="C210" s="19">
        <f t="shared" si="4"/>
        <v>0.7906700929037358</v>
      </c>
    </row>
    <row r="211" spans="1:3">
      <c r="A211" s="17">
        <v>46253</v>
      </c>
      <c r="B211" s="18">
        <v>5017</v>
      </c>
      <c r="C211" s="19">
        <f t="shared" si="4"/>
        <v>-1.6081584624436165</v>
      </c>
    </row>
    <row r="212" spans="1:3">
      <c r="A212" s="17">
        <v>46254</v>
      </c>
      <c r="B212" s="18">
        <v>4998</v>
      </c>
      <c r="C212" s="19">
        <f t="shared" si="4"/>
        <v>-0.37871237791508872</v>
      </c>
    </row>
    <row r="213" spans="1:3">
      <c r="A213" s="17">
        <v>46255</v>
      </c>
      <c r="B213" s="18">
        <v>5000</v>
      </c>
      <c r="C213" s="19">
        <f t="shared" si="4"/>
        <v>4.0016006402561026E-2</v>
      </c>
    </row>
    <row r="214" spans="1:3">
      <c r="A214" s="17">
        <v>46258</v>
      </c>
      <c r="B214" s="18">
        <v>4906</v>
      </c>
      <c r="C214" s="19">
        <f t="shared" si="4"/>
        <v>-1.8800000000000001</v>
      </c>
    </row>
    <row r="215" spans="1:3">
      <c r="A215" s="17">
        <v>46259</v>
      </c>
      <c r="B215" s="18">
        <v>4900</v>
      </c>
      <c r="C215" s="19">
        <f t="shared" si="4"/>
        <v>-0.12229922543823889</v>
      </c>
    </row>
    <row r="216" spans="1:3">
      <c r="A216" s="17">
        <v>46260</v>
      </c>
      <c r="B216" s="18">
        <v>4865.5</v>
      </c>
      <c r="C216" s="19">
        <f t="shared" si="4"/>
        <v>-0.70408163265306123</v>
      </c>
    </row>
    <row r="217" spans="1:3">
      <c r="A217" s="17">
        <v>46261</v>
      </c>
      <c r="B217" s="18">
        <v>4899</v>
      </c>
      <c r="C217" s="19">
        <f t="shared" si="4"/>
        <v>0.68852122084061251</v>
      </c>
    </row>
    <row r="218" spans="1:3">
      <c r="A218" s="17">
        <v>46262</v>
      </c>
      <c r="B218" s="18">
        <v>4861.1000000000004</v>
      </c>
      <c r="C218" s="19">
        <f t="shared" si="4"/>
        <v>-0.77362727087159899</v>
      </c>
    </row>
    <row r="219" spans="1:3">
      <c r="A219" s="17">
        <v>46265</v>
      </c>
      <c r="B219" s="18">
        <v>4801.6000000000004</v>
      </c>
      <c r="C219" s="19">
        <f t="shared" si="4"/>
        <v>-1.2240027977206804</v>
      </c>
    </row>
    <row r="220" spans="1:3">
      <c r="A220" s="17">
        <v>46266</v>
      </c>
      <c r="B220" s="18">
        <v>4807.6000000000004</v>
      </c>
      <c r="C220" s="19">
        <f t="shared" si="4"/>
        <v>0.12495834721759412</v>
      </c>
    </row>
    <row r="221" spans="1:3">
      <c r="A221" s="17">
        <v>46267</v>
      </c>
      <c r="B221" s="18">
        <v>4780</v>
      </c>
      <c r="C221" s="19">
        <f t="shared" si="4"/>
        <v>-0.57409102254764044</v>
      </c>
    </row>
    <row r="222" spans="1:3">
      <c r="A222" s="17">
        <v>46268</v>
      </c>
      <c r="B222" s="18">
        <v>4765.6000000000004</v>
      </c>
      <c r="C222" s="19">
        <f t="shared" si="4"/>
        <v>-0.30125523012551542</v>
      </c>
    </row>
    <row r="223" spans="1:3">
      <c r="A223" s="17">
        <v>46269</v>
      </c>
      <c r="B223" s="18">
        <v>4856</v>
      </c>
      <c r="C223" s="19">
        <f t="shared" si="4"/>
        <v>1.8969279838844979</v>
      </c>
    </row>
    <row r="224" spans="1:3">
      <c r="A224" s="17">
        <v>46272</v>
      </c>
      <c r="B224" s="18">
        <v>4855.2</v>
      </c>
      <c r="C224" s="19">
        <f t="shared" si="4"/>
        <v>-1.64744645799049E-2</v>
      </c>
    </row>
    <row r="225" spans="1:3">
      <c r="A225" s="17">
        <v>46273</v>
      </c>
      <c r="B225" s="18">
        <v>5031.1000000000004</v>
      </c>
      <c r="C225" s="19">
        <f t="shared" si="4"/>
        <v>3.6229197561377608</v>
      </c>
    </row>
    <row r="226" spans="1:3">
      <c r="A226" s="17">
        <v>46274</v>
      </c>
      <c r="B226" s="18">
        <v>5000.5</v>
      </c>
      <c r="C226" s="19">
        <f t="shared" si="4"/>
        <v>-0.6082168909383705</v>
      </c>
    </row>
    <row r="227" spans="1:3">
      <c r="A227" s="17">
        <v>46275</v>
      </c>
      <c r="B227" s="18">
        <v>4950</v>
      </c>
      <c r="C227" s="19">
        <f t="shared" si="4"/>
        <v>-1.0098990100989902</v>
      </c>
    </row>
    <row r="228" spans="1:3">
      <c r="A228" s="17">
        <v>46276</v>
      </c>
      <c r="B228" s="18">
        <v>4905</v>
      </c>
      <c r="C228" s="19">
        <f t="shared" si="4"/>
        <v>-0.90909090909090906</v>
      </c>
    </row>
    <row r="229" spans="1:3">
      <c r="A229" s="17">
        <v>46280</v>
      </c>
      <c r="B229" s="18">
        <v>4695</v>
      </c>
      <c r="C229" s="19">
        <f t="shared" si="4"/>
        <v>-4.281345565749235</v>
      </c>
    </row>
    <row r="230" spans="1:3">
      <c r="A230" s="17">
        <v>46281</v>
      </c>
      <c r="B230" s="18">
        <v>4695.6000000000004</v>
      </c>
      <c r="C230" s="19">
        <f t="shared" si="4"/>
        <v>1.2779552715662702E-2</v>
      </c>
    </row>
    <row r="231" spans="1:3">
      <c r="A231" s="17">
        <v>46282</v>
      </c>
      <c r="B231" s="18">
        <v>4788</v>
      </c>
      <c r="C231" s="19">
        <f t="shared" si="4"/>
        <v>1.9677996422182389</v>
      </c>
    </row>
    <row r="232" spans="1:3">
      <c r="A232" s="17">
        <v>46283</v>
      </c>
      <c r="B232" s="18">
        <v>4800.3</v>
      </c>
      <c r="C232" s="19">
        <f t="shared" si="4"/>
        <v>0.25689223057644489</v>
      </c>
    </row>
    <row r="233" spans="1:3">
      <c r="A233" s="17">
        <v>46286</v>
      </c>
      <c r="B233" s="18">
        <v>4826</v>
      </c>
      <c r="C233" s="19">
        <f t="shared" si="4"/>
        <v>0.53538320521633687</v>
      </c>
    </row>
    <row r="234" spans="1:3">
      <c r="A234" s="17">
        <v>46287</v>
      </c>
      <c r="B234" s="18">
        <v>4800</v>
      </c>
      <c r="C234" s="19">
        <f t="shared" si="4"/>
        <v>-0.53874844591794446</v>
      </c>
    </row>
    <row r="235" spans="1:3">
      <c r="A235" s="17">
        <v>46288</v>
      </c>
      <c r="B235" s="18">
        <v>4836</v>
      </c>
      <c r="C235" s="19">
        <f t="shared" si="4"/>
        <v>0.75</v>
      </c>
    </row>
    <row r="236" spans="1:3">
      <c r="A236" s="17">
        <v>46289</v>
      </c>
      <c r="B236" s="18">
        <v>4774.2</v>
      </c>
      <c r="C236" s="19">
        <f t="shared" si="4"/>
        <v>-1.2779156327543462</v>
      </c>
    </row>
    <row r="237" spans="1:3">
      <c r="A237" s="17">
        <v>46290</v>
      </c>
      <c r="B237" s="18">
        <v>4800</v>
      </c>
      <c r="C237" s="19">
        <f t="shared" si="4"/>
        <v>0.54040467512882118</v>
      </c>
    </row>
    <row r="238" spans="1:3">
      <c r="A238" s="17">
        <v>46293</v>
      </c>
      <c r="B238" s="18">
        <v>4738</v>
      </c>
      <c r="C238" s="19">
        <f t="shared" si="4"/>
        <v>-1.2916666666666667</v>
      </c>
    </row>
    <row r="239" spans="1:3">
      <c r="A239" s="17">
        <v>46294</v>
      </c>
      <c r="B239" s="18">
        <v>4549.3</v>
      </c>
      <c r="C239" s="19">
        <f t="shared" si="4"/>
        <v>-3.9826931194596833</v>
      </c>
    </row>
    <row r="240" spans="1:3">
      <c r="A240" s="17">
        <v>46295</v>
      </c>
      <c r="B240" s="18">
        <v>4668</v>
      </c>
      <c r="C240" s="19">
        <f t="shared" si="4"/>
        <v>2.6091926230409035</v>
      </c>
    </row>
    <row r="241" spans="1:3">
      <c r="A241" s="17">
        <v>46296</v>
      </c>
      <c r="B241" s="18">
        <v>4601</v>
      </c>
      <c r="C241" s="19">
        <f t="shared" si="4"/>
        <v>-1.4353041988003428</v>
      </c>
    </row>
    <row r="242" spans="1:3">
      <c r="A242" s="17">
        <v>46300</v>
      </c>
      <c r="B242" s="18">
        <v>4680</v>
      </c>
      <c r="C242" s="19">
        <f t="shared" si="4"/>
        <v>1.7170180395566181</v>
      </c>
    </row>
    <row r="243" spans="1:3">
      <c r="A243" s="17">
        <v>46301</v>
      </c>
      <c r="B243" s="18">
        <v>4816</v>
      </c>
      <c r="C243" s="19">
        <f t="shared" si="4"/>
        <v>2.9059829059829059</v>
      </c>
    </row>
    <row r="244" spans="1:3">
      <c r="A244" s="17">
        <v>46302</v>
      </c>
      <c r="B244" s="18">
        <v>4746.3</v>
      </c>
      <c r="C244" s="19">
        <f t="shared" si="4"/>
        <v>-1.4472591362126208</v>
      </c>
    </row>
    <row r="245" spans="1:3">
      <c r="A245" s="17">
        <v>46303</v>
      </c>
      <c r="B245" s="18">
        <v>4647.3999999999996</v>
      </c>
      <c r="C245" s="19">
        <f t="shared" si="4"/>
        <v>-2.0837283778943712</v>
      </c>
    </row>
    <row r="246" spans="1:3">
      <c r="A246" s="17">
        <v>46304</v>
      </c>
      <c r="B246" s="18">
        <v>4655.6000000000004</v>
      </c>
      <c r="C246" s="19">
        <f t="shared" si="4"/>
        <v>0.176442742178438</v>
      </c>
    </row>
    <row r="247" spans="1:3">
      <c r="A247" s="17">
        <v>46307</v>
      </c>
      <c r="B247" s="18">
        <v>4760</v>
      </c>
      <c r="C247" s="19">
        <f t="shared" si="4"/>
        <v>2.2424606924993475</v>
      </c>
    </row>
    <row r="248" spans="1:3">
      <c r="A248" s="17">
        <v>46308</v>
      </c>
      <c r="B248" s="18">
        <v>4869</v>
      </c>
      <c r="C248" s="19">
        <f t="shared" si="4"/>
        <v>2.2899159663865545</v>
      </c>
    </row>
  </sheetData>
  <sortState xmlns:xlrd2="http://schemas.microsoft.com/office/spreadsheetml/2017/richdata2" ref="A2:B248">
    <sortCondition ref="A1:A24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205C6-D76D-410E-B279-74E865EF9CBC}">
  <dimension ref="A1:G5"/>
  <sheetViews>
    <sheetView workbookViewId="0">
      <selection activeCell="G14" sqref="G14"/>
    </sheetView>
  </sheetViews>
  <sheetFormatPr defaultRowHeight="14.45"/>
  <cols>
    <col min="1" max="1" width="14.42578125" customWidth="1"/>
    <col min="5" max="5" width="12.7109375" customWidth="1"/>
    <col min="7" max="7" width="17.85546875" customWidth="1"/>
  </cols>
  <sheetData>
    <row r="1" spans="1:7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</row>
    <row r="2" spans="1:7">
      <c r="A2" s="1">
        <v>46059</v>
      </c>
      <c r="B2">
        <v>25605.8</v>
      </c>
      <c r="C2">
        <v>25703.95</v>
      </c>
      <c r="D2">
        <v>25491.9</v>
      </c>
      <c r="E2">
        <v>25693.7</v>
      </c>
      <c r="F2">
        <v>375476124</v>
      </c>
      <c r="G2">
        <v>29777.45</v>
      </c>
    </row>
    <row r="3" spans="1:7">
      <c r="A3" s="1">
        <v>46058</v>
      </c>
      <c r="B3">
        <v>25755.9</v>
      </c>
      <c r="C3">
        <v>25757.65</v>
      </c>
      <c r="D3">
        <v>25579.5</v>
      </c>
      <c r="E3">
        <v>25642.799999999999</v>
      </c>
      <c r="F3">
        <v>343812628</v>
      </c>
      <c r="G3">
        <v>28582.32</v>
      </c>
    </row>
    <row r="4" spans="1:7">
      <c r="A4" s="1">
        <v>46057</v>
      </c>
      <c r="B4">
        <v>25675.05</v>
      </c>
      <c r="C4">
        <v>25818.55</v>
      </c>
      <c r="D4">
        <v>25563.95</v>
      </c>
      <c r="E4">
        <v>25776</v>
      </c>
      <c r="F4">
        <v>429788986</v>
      </c>
      <c r="G4">
        <v>36899.120000000003</v>
      </c>
    </row>
    <row r="5" spans="1:7">
      <c r="A5" s="1">
        <v>46056</v>
      </c>
      <c r="B5">
        <v>26308.05</v>
      </c>
      <c r="C5">
        <v>26341.200000000001</v>
      </c>
      <c r="D5">
        <v>25641.3</v>
      </c>
      <c r="E5">
        <v>25727.55</v>
      </c>
      <c r="F5">
        <v>637263148</v>
      </c>
      <c r="G5">
        <v>52338.39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75E2-5F53-4559-B5AD-B0044A64E312}">
  <dimension ref="A1:C5"/>
  <sheetViews>
    <sheetView workbookViewId="0">
      <selection activeCell="I21" sqref="I21"/>
    </sheetView>
  </sheetViews>
  <sheetFormatPr defaultRowHeight="14.45"/>
  <cols>
    <col min="1" max="1" width="20.140625" customWidth="1"/>
    <col min="3" max="3" width="15.5703125" customWidth="1"/>
  </cols>
  <sheetData>
    <row r="1" spans="1:3">
      <c r="A1" s="5" t="s">
        <v>24</v>
      </c>
      <c r="B1" s="5" t="s">
        <v>28</v>
      </c>
      <c r="C1" s="5" t="s">
        <v>31</v>
      </c>
    </row>
    <row r="2" spans="1:3">
      <c r="A2" s="1">
        <v>46056</v>
      </c>
      <c r="B2">
        <v>25727.55</v>
      </c>
    </row>
    <row r="3" spans="1:3">
      <c r="A3" s="1">
        <v>46057</v>
      </c>
      <c r="B3">
        <v>25776</v>
      </c>
      <c r="C3" s="20">
        <f>(B3-B2)/B2*100</f>
        <v>0.18831952517826506</v>
      </c>
    </row>
    <row r="4" spans="1:3">
      <c r="A4" s="1">
        <v>46058</v>
      </c>
      <c r="B4">
        <v>25642.799999999999</v>
      </c>
      <c r="C4" s="20">
        <f t="shared" ref="C4:C5" si="0">(B4-B3)/B3*100</f>
        <v>-0.51675977653631566</v>
      </c>
    </row>
    <row r="5" spans="1:3">
      <c r="A5" s="1">
        <v>46059</v>
      </c>
      <c r="B5">
        <v>25693.7</v>
      </c>
      <c r="C5" s="20">
        <f t="shared" si="0"/>
        <v>0.19849626405853282</v>
      </c>
    </row>
  </sheetData>
  <sortState xmlns:xlrd2="http://schemas.microsoft.com/office/spreadsheetml/2017/richdata2" ref="A2:B5">
    <sortCondition ref="A1:A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C43F-50FD-4FBD-AADB-D1717ABE2841}">
  <dimension ref="A1:C4"/>
  <sheetViews>
    <sheetView workbookViewId="0">
      <selection activeCell="P26" sqref="P26"/>
    </sheetView>
  </sheetViews>
  <sheetFormatPr defaultRowHeight="14.45"/>
  <cols>
    <col min="1" max="1" width="12.42578125" customWidth="1"/>
    <col min="2" max="2" width="15.7109375" customWidth="1"/>
    <col min="3" max="3" width="17.42578125" customWidth="1"/>
  </cols>
  <sheetData>
    <row r="1" spans="1:3">
      <c r="A1" s="22" t="s">
        <v>19</v>
      </c>
      <c r="B1" s="22" t="s">
        <v>32</v>
      </c>
      <c r="C1" s="22" t="s">
        <v>33</v>
      </c>
    </row>
    <row r="2" spans="1:3">
      <c r="A2" s="21">
        <v>46057</v>
      </c>
      <c r="B2" s="24">
        <v>-5.6661596277737853</v>
      </c>
      <c r="C2" s="23">
        <v>0.18831952517826506</v>
      </c>
    </row>
    <row r="3" spans="1:3">
      <c r="A3" s="21">
        <v>46058</v>
      </c>
      <c r="B3" s="24">
        <v>-4.3062768253064991</v>
      </c>
      <c r="C3" s="23">
        <v>-0.51675977653631566</v>
      </c>
    </row>
    <row r="4" spans="1:3">
      <c r="A4" s="21">
        <v>46059</v>
      </c>
      <c r="B4" s="24">
        <v>0.79296245818362043</v>
      </c>
      <c r="C4" s="23">
        <v>0.19849626405853282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miss qaiser</dc:creator>
  <cp:keywords/>
  <dc:description/>
  <cp:lastModifiedBy>miss qaiser</cp:lastModifiedBy>
  <cp:revision/>
  <dcterms:created xsi:type="dcterms:W3CDTF">2026-10-14T06:46:59Z</dcterms:created>
  <dcterms:modified xsi:type="dcterms:W3CDTF">2026-10-14T15:40:37Z</dcterms:modified>
  <cp:category/>
  <cp:contentStatus/>
</cp:coreProperties>
</file>